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32" sheetId="1" r:id="rId5"/>
    <sheet state="visible" name="「2026032」的副本" sheetId="2" r:id="rId6"/>
    <sheet state="visible" name="過年班" sheetId="3" r:id="rId7"/>
    <sheet state="visible" name="202602" sheetId="4" r:id="rId8"/>
    <sheet state="visible" name="202601" sheetId="5" r:id="rId9"/>
    <sheet state="visible" name="202512" sheetId="6" r:id="rId10"/>
    <sheet state="visible" name="202511" sheetId="7" r:id="rId11"/>
    <sheet state="visible" name="202510" sheetId="8" r:id="rId12"/>
    <sheet state="visible" name="202509" sheetId="9" r:id="rId13"/>
    <sheet state="visible" name="202508" sheetId="10" r:id="rId14"/>
  </sheets>
  <definedNames/>
  <calcPr/>
</workbook>
</file>

<file path=xl/sharedStrings.xml><?xml version="1.0" encoding="utf-8"?>
<sst xmlns="http://schemas.openxmlformats.org/spreadsheetml/2006/main" count="804" uniqueCount="86">
  <si>
    <t>平</t>
  </si>
  <si>
    <t>假</t>
  </si>
  <si>
    <t>一</t>
  </si>
  <si>
    <t>二</t>
  </si>
  <si>
    <t>三</t>
  </si>
  <si>
    <t>四</t>
  </si>
  <si>
    <t>五</t>
  </si>
  <si>
    <t>六</t>
  </si>
  <si>
    <t>日</t>
  </si>
  <si>
    <t>見賢(5+2)</t>
  </si>
  <si>
    <t>1,7,8,9</t>
  </si>
  <si>
    <t>多1五</t>
  </si>
  <si>
    <t>見賢</t>
  </si>
  <si>
    <t>常胤(6+1)</t>
  </si>
  <si>
    <t>1-3,22,23,28-29</t>
  </si>
  <si>
    <t>少1平</t>
  </si>
  <si>
    <t>麒翔(5+2)</t>
  </si>
  <si>
    <t>1,7,8,22,23</t>
  </si>
  <si>
    <t>多2五</t>
  </si>
  <si>
    <t>16+5</t>
  </si>
  <si>
    <t>麒翔</t>
  </si>
  <si>
    <t>展瀚</t>
  </si>
  <si>
    <t>常胤</t>
  </si>
  <si>
    <t>展瀚(3+0)</t>
  </si>
  <si>
    <t>建寬(3+0)</t>
  </si>
  <si>
    <t>22+5</t>
  </si>
  <si>
    <t>建寬</t>
  </si>
  <si>
    <t>朝允</t>
  </si>
  <si>
    <t>昭佑(1+1)</t>
  </si>
  <si>
    <t>朝允(1+1)</t>
  </si>
  <si>
    <t>則瑋(1+1)</t>
  </si>
  <si>
    <t>9月少1假</t>
  </si>
  <si>
    <t>昭佑</t>
  </si>
  <si>
    <t>廖瑀(1+1)</t>
  </si>
  <si>
    <t>則瑋</t>
  </si>
  <si>
    <t>廖瑀</t>
  </si>
  <si>
    <t>22+9</t>
  </si>
  <si>
    <t>白天1</t>
  </si>
  <si>
    <t>白天2</t>
  </si>
  <si>
    <t>值班</t>
  </si>
  <si>
    <t>一 (除夕)</t>
  </si>
  <si>
    <t>常胤(5+2)</t>
  </si>
  <si>
    <t>1/9-11，1/30</t>
  </si>
  <si>
    <t>多1日</t>
  </si>
  <si>
    <t>2月多一假</t>
  </si>
  <si>
    <t>15+6</t>
  </si>
  <si>
    <t>展瀚(2+0)</t>
  </si>
  <si>
    <t>建寬(1+0)</t>
  </si>
  <si>
    <t>18+6</t>
  </si>
  <si>
    <t>3+4</t>
  </si>
  <si>
    <t>15+5</t>
  </si>
  <si>
    <t>1月 21+10</t>
  </si>
  <si>
    <t>12/13-12/21</t>
  </si>
  <si>
    <t>12/13-14, 20-21</t>
  </si>
  <si>
    <t>11月多1五</t>
  </si>
  <si>
    <t>10月多1五</t>
  </si>
  <si>
    <t>10月少1平</t>
  </si>
  <si>
    <t>9月少1平</t>
  </si>
  <si>
    <t>25+10</t>
  </si>
  <si>
    <t>11 月 22 + 9</t>
  </si>
  <si>
    <t>1-2, 17, 21-23</t>
  </si>
  <si>
    <t>8月多一日</t>
  </si>
  <si>
    <t>1-2, 21-23, 24-30</t>
  </si>
  <si>
    <t>10月多一五</t>
  </si>
  <si>
    <t>10月少一平</t>
  </si>
  <si>
    <t>11 月 20 + 10</t>
  </si>
  <si>
    <t>4,17-19</t>
  </si>
  <si>
    <t>4,17-19,29</t>
  </si>
  <si>
    <t>10, 11月少一平</t>
  </si>
  <si>
    <t>24+10</t>
  </si>
  <si>
    <t>20+11</t>
  </si>
  <si>
    <t>20-21</t>
  </si>
  <si>
    <t>20-21,23</t>
  </si>
  <si>
    <t>9月少一五</t>
  </si>
  <si>
    <t>昭祐(1+1)</t>
  </si>
  <si>
    <t>十一月少一平</t>
  </si>
  <si>
    <t>昭祐</t>
  </si>
  <si>
    <t>八月少一平</t>
  </si>
  <si>
    <t>22+10</t>
  </si>
  <si>
    <t>22+8</t>
  </si>
  <si>
    <t>15、16</t>
  </si>
  <si>
    <t>常胤(5+2)日+1</t>
  </si>
  <si>
    <t>15-17</t>
  </si>
  <si>
    <t>七月二平</t>
  </si>
  <si>
    <t>(22+10)</t>
  </si>
  <si>
    <t>21+10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</si>
</sst>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"/>
    <numFmt numFmtId="165" formatCode="m/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color rgb="FF9900FF"/>
      <name val="Arial"/>
      <scheme val="minor"/>
    </font>
    <font>
      <color rgb="FF0000FF"/>
      <name val="Arial"/>
      <scheme val="minor"/>
    </font>
    <font>
      <color rgb="FFFF99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/>
    </xf>
    <xf borderId="0" fillId="3" fontId="1" numFmtId="164" xfId="0" applyAlignment="1" applyFill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2" fontId="1" numFmtId="165" xfId="0" applyAlignment="1" applyFont="1" applyNumberFormat="1">
      <alignment horizontal="center" readingOrder="0"/>
    </xf>
    <xf borderId="0" fillId="3" fontId="1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2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0.5"/>
  </cols>
  <sheetData>
    <row r="1">
      <c r="A1" s="1">
        <v>46076.0</v>
      </c>
      <c r="B1" s="1">
        <v>46077.0</v>
      </c>
      <c r="C1" s="1">
        <v>46078.0</v>
      </c>
      <c r="D1" s="1">
        <v>46079.0</v>
      </c>
      <c r="E1" s="2">
        <v>46080.0</v>
      </c>
      <c r="F1" s="2">
        <v>46081.0</v>
      </c>
      <c r="G1" s="2">
        <v>46082.0</v>
      </c>
      <c r="H1" s="3"/>
      <c r="I1" s="4" t="s">
        <v>0</v>
      </c>
      <c r="J1" s="4" t="s">
        <v>1</v>
      </c>
      <c r="K1" s="3"/>
      <c r="L1" s="3"/>
      <c r="M1" s="3"/>
    </row>
    <row r="2">
      <c r="A2" s="5" t="s">
        <v>2</v>
      </c>
      <c r="B2" s="5" t="s">
        <v>3</v>
      </c>
      <c r="C2" s="5" t="s">
        <v>4</v>
      </c>
      <c r="D2" s="5" t="s">
        <v>5</v>
      </c>
      <c r="E2" s="6" t="s">
        <v>6</v>
      </c>
      <c r="F2" s="6" t="s">
        <v>7</v>
      </c>
      <c r="G2" s="6" t="s">
        <v>8</v>
      </c>
      <c r="H2" s="4" t="s">
        <v>9</v>
      </c>
      <c r="I2" s="3">
        <f>COUNTIF(A1:E18,"見賢")</f>
        <v>3</v>
      </c>
      <c r="J2" s="3">
        <f>COUNTIF(F1:G15,"見賢")</f>
        <v>3</v>
      </c>
      <c r="K2" s="4" t="s">
        <v>10</v>
      </c>
      <c r="L2" s="4" t="s">
        <v>11</v>
      </c>
      <c r="M2" s="3"/>
    </row>
    <row r="3">
      <c r="A3" s="7"/>
      <c r="B3" s="7"/>
      <c r="C3" s="7"/>
      <c r="D3" s="7"/>
      <c r="E3" s="4"/>
      <c r="F3" s="7"/>
      <c r="G3" s="7" t="s">
        <v>12</v>
      </c>
      <c r="H3" s="4" t="s">
        <v>13</v>
      </c>
      <c r="I3" s="3">
        <f>COUNTIF(A1:E18,"常胤")</f>
        <v>6</v>
      </c>
      <c r="J3" s="3">
        <f>COUNTIF(F1:G15,"常胤")</f>
        <v>1</v>
      </c>
      <c r="K3" s="8" t="s">
        <v>14</v>
      </c>
      <c r="L3" s="4" t="s">
        <v>15</v>
      </c>
      <c r="M3" s="4"/>
      <c r="N3" s="4"/>
    </row>
    <row r="4">
      <c r="A4" s="1">
        <f t="shared" ref="A4:G4" si="1">A1+7</f>
        <v>46083</v>
      </c>
      <c r="B4" s="1">
        <f t="shared" si="1"/>
        <v>46084</v>
      </c>
      <c r="C4" s="1">
        <f t="shared" si="1"/>
        <v>46085</v>
      </c>
      <c r="D4" s="1">
        <f t="shared" si="1"/>
        <v>46086</v>
      </c>
      <c r="E4" s="1">
        <f t="shared" si="1"/>
        <v>46087</v>
      </c>
      <c r="F4" s="2">
        <f t="shared" si="1"/>
        <v>46088</v>
      </c>
      <c r="G4" s="2">
        <f t="shared" si="1"/>
        <v>46089</v>
      </c>
      <c r="H4" s="4" t="s">
        <v>16</v>
      </c>
      <c r="I4" s="3">
        <f>COUNTIF(A1:E15,"麒翔")</f>
        <v>5</v>
      </c>
      <c r="J4" s="3">
        <f>COUNTIF(F1:G15,"麒翔")</f>
        <v>2</v>
      </c>
      <c r="K4" s="4" t="s">
        <v>17</v>
      </c>
      <c r="L4" s="4" t="s">
        <v>18</v>
      </c>
      <c r="M4" s="3"/>
    </row>
    <row r="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6" t="s">
        <v>7</v>
      </c>
      <c r="G5" s="6" t="s">
        <v>8</v>
      </c>
      <c r="H5" s="4" t="s">
        <v>19</v>
      </c>
      <c r="I5" s="3"/>
      <c r="J5" s="3"/>
      <c r="K5" s="3"/>
      <c r="L5" s="3"/>
      <c r="M5" s="3"/>
    </row>
    <row r="6">
      <c r="A6" s="7" t="s">
        <v>20</v>
      </c>
      <c r="B6" s="7" t="s">
        <v>21</v>
      </c>
      <c r="C6" s="7" t="s">
        <v>21</v>
      </c>
      <c r="D6" s="7" t="s">
        <v>20</v>
      </c>
      <c r="E6" s="7" t="s">
        <v>22</v>
      </c>
      <c r="F6" s="4" t="s">
        <v>12</v>
      </c>
      <c r="G6" s="7" t="s">
        <v>22</v>
      </c>
      <c r="H6" s="4" t="s">
        <v>23</v>
      </c>
      <c r="I6" s="3">
        <f>COUNTIF(A1:E15,"展瀚")</f>
        <v>4</v>
      </c>
      <c r="J6" s="3">
        <f>COUNTIF(F1:G15,"展瀚")</f>
        <v>0</v>
      </c>
      <c r="K6" s="3"/>
      <c r="L6" s="3"/>
      <c r="M6" s="3"/>
    </row>
    <row r="7">
      <c r="A7" s="1">
        <f t="shared" ref="A7:G7" si="2">A4+7</f>
        <v>46090</v>
      </c>
      <c r="B7" s="1">
        <f t="shared" si="2"/>
        <v>46091</v>
      </c>
      <c r="C7" s="1">
        <f t="shared" si="2"/>
        <v>46092</v>
      </c>
      <c r="D7" s="1">
        <f t="shared" si="2"/>
        <v>46093</v>
      </c>
      <c r="E7" s="1">
        <f t="shared" si="2"/>
        <v>46094</v>
      </c>
      <c r="F7" s="2">
        <f t="shared" si="2"/>
        <v>46095</v>
      </c>
      <c r="G7" s="2">
        <f t="shared" si="2"/>
        <v>46096</v>
      </c>
      <c r="H7" s="4" t="s">
        <v>24</v>
      </c>
      <c r="I7" s="3">
        <f>COUNTIF(A1:E18,"建寬")</f>
        <v>2</v>
      </c>
      <c r="J7" s="3">
        <f>COUNTIF(F2:G16,"建寬")</f>
        <v>0</v>
      </c>
      <c r="K7" s="3"/>
      <c r="L7" s="3"/>
      <c r="M7" s="3"/>
    </row>
    <row r="8">
      <c r="A8" s="5" t="s">
        <v>2</v>
      </c>
      <c r="B8" s="5" t="s">
        <v>3</v>
      </c>
      <c r="C8" s="5" t="s">
        <v>4</v>
      </c>
      <c r="D8" s="5" t="s">
        <v>5</v>
      </c>
      <c r="E8" s="5" t="s">
        <v>6</v>
      </c>
      <c r="F8" s="6" t="s">
        <v>7</v>
      </c>
      <c r="G8" s="6" t="s">
        <v>8</v>
      </c>
      <c r="H8" s="4" t="s">
        <v>25</v>
      </c>
      <c r="L8" s="3"/>
      <c r="M8" s="3"/>
    </row>
    <row r="9">
      <c r="A9" s="7" t="s">
        <v>26</v>
      </c>
      <c r="B9" s="7" t="s">
        <v>20</v>
      </c>
      <c r="C9" s="7" t="s">
        <v>12</v>
      </c>
      <c r="D9" s="4" t="s">
        <v>22</v>
      </c>
      <c r="E9" s="7" t="s">
        <v>20</v>
      </c>
      <c r="F9" s="7" t="s">
        <v>27</v>
      </c>
      <c r="G9" s="7" t="s">
        <v>20</v>
      </c>
      <c r="H9" s="4" t="s">
        <v>28</v>
      </c>
      <c r="I9" s="3">
        <f>COUNTIF(A1:E15,"昭祐")</f>
        <v>0</v>
      </c>
      <c r="J9" s="3">
        <f>COUNTIF(F2:G16, "昭佑")</f>
        <v>1</v>
      </c>
      <c r="K9" s="4"/>
      <c r="L9" s="3"/>
      <c r="M9" s="3"/>
    </row>
    <row r="10">
      <c r="A10" s="1">
        <f t="shared" ref="A10:G10" si="3">A7+7</f>
        <v>46097</v>
      </c>
      <c r="B10" s="1">
        <f t="shared" si="3"/>
        <v>46098</v>
      </c>
      <c r="C10" s="1">
        <f t="shared" si="3"/>
        <v>46099</v>
      </c>
      <c r="D10" s="1">
        <f t="shared" si="3"/>
        <v>46100</v>
      </c>
      <c r="E10" s="1">
        <f t="shared" si="3"/>
        <v>46101</v>
      </c>
      <c r="F10" s="2">
        <f t="shared" si="3"/>
        <v>46102</v>
      </c>
      <c r="G10" s="2">
        <f t="shared" si="3"/>
        <v>46103</v>
      </c>
      <c r="H10" s="4" t="s">
        <v>29</v>
      </c>
      <c r="I10" s="3">
        <f>COUNTIF(A1:E15,"朝允")</f>
        <v>0</v>
      </c>
      <c r="J10" s="3">
        <f>COUNTIF(F1:G15,"朝允")</f>
        <v>1</v>
      </c>
      <c r="K10" s="4"/>
      <c r="L10" s="3"/>
      <c r="M10" s="3"/>
    </row>
    <row r="11">
      <c r="A11" s="5" t="s">
        <v>2</v>
      </c>
      <c r="B11" s="5" t="s">
        <v>3</v>
      </c>
      <c r="C11" s="5" t="s">
        <v>4</v>
      </c>
      <c r="D11" s="5" t="s">
        <v>5</v>
      </c>
      <c r="E11" s="5" t="s">
        <v>6</v>
      </c>
      <c r="F11" s="6" t="s">
        <v>7</v>
      </c>
      <c r="G11" s="6" t="s">
        <v>8</v>
      </c>
      <c r="H11" s="4" t="s">
        <v>30</v>
      </c>
      <c r="I11" s="3">
        <f>COUNTIF(A1:E15,"則瑋")</f>
        <v>2</v>
      </c>
      <c r="J11" s="3">
        <f>COUNTIF(F2:G16,"則瑋")</f>
        <v>0</v>
      </c>
      <c r="K11" s="4" t="s">
        <v>31</v>
      </c>
      <c r="L11" s="3"/>
      <c r="M11" s="3"/>
    </row>
    <row r="12">
      <c r="A12" s="4" t="s">
        <v>22</v>
      </c>
      <c r="B12" s="7" t="s">
        <v>21</v>
      </c>
      <c r="C12" s="7" t="s">
        <v>21</v>
      </c>
      <c r="D12" s="7" t="s">
        <v>20</v>
      </c>
      <c r="E12" s="4" t="s">
        <v>22</v>
      </c>
      <c r="F12" s="7" t="s">
        <v>32</v>
      </c>
      <c r="G12" s="7" t="s">
        <v>12</v>
      </c>
      <c r="H12" s="4" t="s">
        <v>33</v>
      </c>
      <c r="I12" s="3">
        <f>COUNTIF(A1:E15,"廖瑀")</f>
        <v>0</v>
      </c>
      <c r="J12" s="3">
        <f>COUNTIF(F4:G18,"廖瑀")</f>
        <v>1</v>
      </c>
      <c r="K12" s="4"/>
      <c r="L12" s="3"/>
      <c r="M12" s="3"/>
    </row>
    <row r="13">
      <c r="A13" s="1">
        <f t="shared" ref="A13:G13" si="4">A10+7</f>
        <v>46104</v>
      </c>
      <c r="B13" s="1">
        <f t="shared" si="4"/>
        <v>46105</v>
      </c>
      <c r="C13" s="1">
        <f t="shared" si="4"/>
        <v>46106</v>
      </c>
      <c r="D13" s="1">
        <f t="shared" si="4"/>
        <v>46107</v>
      </c>
      <c r="E13" s="1">
        <f t="shared" si="4"/>
        <v>46108</v>
      </c>
      <c r="F13" s="2">
        <f t="shared" si="4"/>
        <v>46109</v>
      </c>
      <c r="G13" s="2">
        <f t="shared" si="4"/>
        <v>46110</v>
      </c>
      <c r="H13" s="4"/>
      <c r="I13" s="3"/>
      <c r="J13" s="3"/>
      <c r="K13" s="3"/>
      <c r="L13" s="3"/>
      <c r="M13" s="3"/>
    </row>
    <row r="14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6" t="s">
        <v>7</v>
      </c>
      <c r="G14" s="6" t="s">
        <v>8</v>
      </c>
      <c r="H14" s="4"/>
      <c r="I14" s="3"/>
      <c r="J14" s="3"/>
      <c r="K14" s="3"/>
      <c r="L14" s="3"/>
      <c r="M14" s="3"/>
    </row>
    <row r="15">
      <c r="A15" s="7" t="s">
        <v>34</v>
      </c>
      <c r="B15" s="4" t="s">
        <v>22</v>
      </c>
      <c r="C15" s="7" t="s">
        <v>12</v>
      </c>
      <c r="D15" s="4" t="s">
        <v>22</v>
      </c>
      <c r="E15" s="7" t="s">
        <v>34</v>
      </c>
      <c r="F15" s="7" t="s">
        <v>35</v>
      </c>
      <c r="G15" s="7" t="s">
        <v>20</v>
      </c>
      <c r="H15" s="4" t="s">
        <v>36</v>
      </c>
      <c r="I15" s="3"/>
      <c r="J15" s="3"/>
      <c r="K15" s="3"/>
      <c r="L15" s="3"/>
    </row>
    <row r="16">
      <c r="A16" s="1">
        <f t="shared" ref="A16:B16" si="5">A13+7</f>
        <v>46111</v>
      </c>
      <c r="B16" s="1">
        <f t="shared" si="5"/>
        <v>46112</v>
      </c>
      <c r="C16" s="1"/>
      <c r="D16" s="1"/>
      <c r="E16" s="1"/>
      <c r="F16" s="2"/>
      <c r="G16" s="2"/>
    </row>
    <row r="17">
      <c r="A17" s="5" t="s">
        <v>2</v>
      </c>
      <c r="B17" s="5" t="s">
        <v>3</v>
      </c>
      <c r="C17" s="5"/>
      <c r="D17" s="5"/>
      <c r="E17" s="5"/>
      <c r="F17" s="6"/>
      <c r="G17" s="6"/>
    </row>
    <row r="18">
      <c r="A18" s="4" t="s">
        <v>26</v>
      </c>
      <c r="B18" s="7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0.5"/>
  </cols>
  <sheetData>
    <row r="1">
      <c r="A1" s="1">
        <v>46076.0</v>
      </c>
      <c r="B1" s="1">
        <v>46077.0</v>
      </c>
      <c r="C1" s="1">
        <v>46078.0</v>
      </c>
      <c r="D1" s="1">
        <v>46079.0</v>
      </c>
      <c r="E1" s="2">
        <v>46080.0</v>
      </c>
      <c r="F1" s="2">
        <v>46081.0</v>
      </c>
      <c r="G1" s="2">
        <v>46082.0</v>
      </c>
      <c r="H1" s="3"/>
      <c r="I1" s="4" t="s">
        <v>0</v>
      </c>
      <c r="J1" s="4" t="s">
        <v>1</v>
      </c>
      <c r="K1" s="3"/>
      <c r="L1" s="3"/>
      <c r="M1" s="3"/>
    </row>
    <row r="2">
      <c r="A2" s="5" t="s">
        <v>2</v>
      </c>
      <c r="B2" s="5" t="s">
        <v>3</v>
      </c>
      <c r="C2" s="5" t="s">
        <v>4</v>
      </c>
      <c r="D2" s="5" t="s">
        <v>5</v>
      </c>
      <c r="E2" s="6" t="s">
        <v>6</v>
      </c>
      <c r="F2" s="6" t="s">
        <v>7</v>
      </c>
      <c r="G2" s="6" t="s">
        <v>8</v>
      </c>
      <c r="H2" s="4" t="s">
        <v>9</v>
      </c>
      <c r="I2" s="3">
        <f>COUNTIF(A1:E18,"見賢")</f>
        <v>3</v>
      </c>
      <c r="J2" s="3">
        <f>COUNTIF(F1:G15,"見賢")</f>
        <v>3</v>
      </c>
      <c r="K2" s="4" t="s">
        <v>10</v>
      </c>
      <c r="L2" s="4" t="s">
        <v>11</v>
      </c>
      <c r="M2" s="3"/>
    </row>
    <row r="3">
      <c r="A3" s="7"/>
      <c r="B3" s="7"/>
      <c r="C3" s="7"/>
      <c r="D3" s="7"/>
      <c r="E3" s="4"/>
      <c r="F3" s="7"/>
      <c r="G3" s="7" t="s">
        <v>12</v>
      </c>
      <c r="H3" s="4" t="s">
        <v>13</v>
      </c>
      <c r="I3" s="3">
        <f>COUNTIF(A1:E18,"常胤")</f>
        <v>6</v>
      </c>
      <c r="J3" s="3">
        <f>COUNTIF(F1:G15,"常胤")</f>
        <v>1</v>
      </c>
      <c r="K3" s="8" t="s">
        <v>14</v>
      </c>
      <c r="L3" s="4" t="s">
        <v>15</v>
      </c>
      <c r="M3" s="4"/>
      <c r="N3" s="4"/>
    </row>
    <row r="4">
      <c r="A4" s="1">
        <f t="shared" ref="A4:G4" si="1">A1+7</f>
        <v>46083</v>
      </c>
      <c r="B4" s="1">
        <f t="shared" si="1"/>
        <v>46084</v>
      </c>
      <c r="C4" s="1">
        <f t="shared" si="1"/>
        <v>46085</v>
      </c>
      <c r="D4" s="1">
        <f t="shared" si="1"/>
        <v>46086</v>
      </c>
      <c r="E4" s="1">
        <f t="shared" si="1"/>
        <v>46087</v>
      </c>
      <c r="F4" s="2">
        <f t="shared" si="1"/>
        <v>46088</v>
      </c>
      <c r="G4" s="2">
        <f t="shared" si="1"/>
        <v>46089</v>
      </c>
      <c r="H4" s="4" t="s">
        <v>16</v>
      </c>
      <c r="I4" s="3">
        <f>COUNTIF(A1:E15,"麒翔")</f>
        <v>5</v>
      </c>
      <c r="J4" s="3">
        <f>COUNTIF(F1:G15,"麒翔")</f>
        <v>2</v>
      </c>
      <c r="K4" s="4" t="s">
        <v>17</v>
      </c>
      <c r="L4" s="4" t="s">
        <v>18</v>
      </c>
      <c r="M4" s="3"/>
    </row>
    <row r="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6" t="s">
        <v>7</v>
      </c>
      <c r="G5" s="6" t="s">
        <v>8</v>
      </c>
      <c r="H5" s="4" t="s">
        <v>19</v>
      </c>
      <c r="I5" s="3"/>
      <c r="J5" s="3"/>
      <c r="K5" s="3"/>
      <c r="L5" s="3"/>
      <c r="M5" s="3"/>
    </row>
    <row r="6">
      <c r="A6" s="7" t="s">
        <v>20</v>
      </c>
      <c r="B6" s="7" t="s">
        <v>21</v>
      </c>
      <c r="C6" s="7" t="s">
        <v>21</v>
      </c>
      <c r="D6" s="7" t="s">
        <v>20</v>
      </c>
      <c r="E6" s="7" t="s">
        <v>22</v>
      </c>
      <c r="F6" s="4" t="s">
        <v>12</v>
      </c>
      <c r="G6" s="7" t="s">
        <v>22</v>
      </c>
      <c r="H6" s="4" t="s">
        <v>23</v>
      </c>
      <c r="I6" s="3">
        <f>COUNTIF(A1:E15,"展瀚")</f>
        <v>4</v>
      </c>
      <c r="J6" s="3">
        <f>COUNTIF(F1:G15,"展瀚")</f>
        <v>0</v>
      </c>
      <c r="K6" s="3"/>
      <c r="L6" s="3"/>
      <c r="M6" s="3"/>
    </row>
    <row r="7">
      <c r="A7" s="1">
        <f t="shared" ref="A7:G7" si="2">A4+7</f>
        <v>46090</v>
      </c>
      <c r="B7" s="1">
        <f t="shared" si="2"/>
        <v>46091</v>
      </c>
      <c r="C7" s="1">
        <f t="shared" si="2"/>
        <v>46092</v>
      </c>
      <c r="D7" s="1">
        <f t="shared" si="2"/>
        <v>46093</v>
      </c>
      <c r="E7" s="1">
        <f t="shared" si="2"/>
        <v>46094</v>
      </c>
      <c r="F7" s="2">
        <f t="shared" si="2"/>
        <v>46095</v>
      </c>
      <c r="G7" s="2">
        <f t="shared" si="2"/>
        <v>46096</v>
      </c>
      <c r="H7" s="4" t="s">
        <v>24</v>
      </c>
      <c r="I7" s="3">
        <f>COUNTIF(A1:E18,"建寬")</f>
        <v>2</v>
      </c>
      <c r="J7" s="3">
        <f>COUNTIF(F2:G16,"建寬")</f>
        <v>0</v>
      </c>
      <c r="K7" s="3"/>
      <c r="L7" s="3"/>
      <c r="M7" s="3"/>
    </row>
    <row r="8">
      <c r="A8" s="5" t="s">
        <v>2</v>
      </c>
      <c r="B8" s="5" t="s">
        <v>3</v>
      </c>
      <c r="C8" s="5" t="s">
        <v>4</v>
      </c>
      <c r="D8" s="5" t="s">
        <v>5</v>
      </c>
      <c r="E8" s="5" t="s">
        <v>6</v>
      </c>
      <c r="F8" s="6" t="s">
        <v>7</v>
      </c>
      <c r="G8" s="6" t="s">
        <v>8</v>
      </c>
      <c r="H8" s="4" t="s">
        <v>25</v>
      </c>
      <c r="L8" s="3"/>
      <c r="M8" s="3"/>
    </row>
    <row r="9">
      <c r="A9" s="7" t="s">
        <v>26</v>
      </c>
      <c r="B9" s="7" t="s">
        <v>20</v>
      </c>
      <c r="C9" s="7" t="s">
        <v>12</v>
      </c>
      <c r="D9" s="4" t="s">
        <v>22</v>
      </c>
      <c r="E9" s="7" t="s">
        <v>20</v>
      </c>
      <c r="F9" s="7" t="s">
        <v>27</v>
      </c>
      <c r="G9" s="7" t="s">
        <v>20</v>
      </c>
      <c r="H9" s="4" t="s">
        <v>28</v>
      </c>
      <c r="I9" s="3">
        <f>COUNTIF(A1:E15,"昭祐")</f>
        <v>0</v>
      </c>
      <c r="J9" s="3">
        <f>COUNTIF(F2:G16, "昭佑")</f>
        <v>1</v>
      </c>
      <c r="K9" s="4"/>
      <c r="L9" s="3"/>
      <c r="M9" s="3"/>
    </row>
    <row r="10">
      <c r="A10" s="1">
        <f t="shared" ref="A10:G10" si="3">A7+7</f>
        <v>46097</v>
      </c>
      <c r="B10" s="1">
        <f t="shared" si="3"/>
        <v>46098</v>
      </c>
      <c r="C10" s="1">
        <f t="shared" si="3"/>
        <v>46099</v>
      </c>
      <c r="D10" s="1">
        <f t="shared" si="3"/>
        <v>46100</v>
      </c>
      <c r="E10" s="1">
        <f t="shared" si="3"/>
        <v>46101</v>
      </c>
      <c r="F10" s="2">
        <f t="shared" si="3"/>
        <v>46102</v>
      </c>
      <c r="G10" s="2">
        <f t="shared" si="3"/>
        <v>46103</v>
      </c>
      <c r="H10" s="4" t="s">
        <v>29</v>
      </c>
      <c r="I10" s="3">
        <f>COUNTIF(A1:E15,"朝允")</f>
        <v>0</v>
      </c>
      <c r="J10" s="3">
        <f>COUNTIF(F1:G15,"朝允")</f>
        <v>1</v>
      </c>
      <c r="K10" s="4"/>
      <c r="L10" s="3"/>
      <c r="M10" s="3"/>
    </row>
    <row r="11">
      <c r="A11" s="5" t="s">
        <v>2</v>
      </c>
      <c r="B11" s="5" t="s">
        <v>3</v>
      </c>
      <c r="C11" s="5" t="s">
        <v>4</v>
      </c>
      <c r="D11" s="5" t="s">
        <v>5</v>
      </c>
      <c r="E11" s="5" t="s">
        <v>6</v>
      </c>
      <c r="F11" s="6" t="s">
        <v>7</v>
      </c>
      <c r="G11" s="6" t="s">
        <v>8</v>
      </c>
      <c r="H11" s="4" t="s">
        <v>30</v>
      </c>
      <c r="I11" s="3">
        <f>COUNTIF(A1:E15,"則瑋")</f>
        <v>2</v>
      </c>
      <c r="J11" s="3">
        <f>COUNTIF(F2:G16,"則瑋")</f>
        <v>0</v>
      </c>
      <c r="K11" s="4" t="s">
        <v>31</v>
      </c>
      <c r="L11" s="3"/>
      <c r="M11" s="3"/>
    </row>
    <row r="12">
      <c r="A12" s="4" t="s">
        <v>22</v>
      </c>
      <c r="B12" s="7" t="s">
        <v>21</v>
      </c>
      <c r="C12" s="7" t="s">
        <v>21</v>
      </c>
      <c r="D12" s="7" t="s">
        <v>20</v>
      </c>
      <c r="E12" s="4" t="s">
        <v>22</v>
      </c>
      <c r="F12" s="7" t="s">
        <v>32</v>
      </c>
      <c r="G12" s="7" t="s">
        <v>12</v>
      </c>
      <c r="H12" s="4" t="s">
        <v>33</v>
      </c>
      <c r="I12" s="3">
        <f>COUNTIF(A1:E15,"廖瑀")</f>
        <v>0</v>
      </c>
      <c r="J12" s="3">
        <f>COUNTIF(F4:G18,"廖瑀")</f>
        <v>1</v>
      </c>
      <c r="K12" s="4"/>
      <c r="L12" s="3"/>
      <c r="M12" s="3"/>
    </row>
    <row r="13">
      <c r="A13" s="1">
        <f t="shared" ref="A13:G13" si="4">A10+7</f>
        <v>46104</v>
      </c>
      <c r="B13" s="1">
        <f t="shared" si="4"/>
        <v>46105</v>
      </c>
      <c r="C13" s="1">
        <f t="shared" si="4"/>
        <v>46106</v>
      </c>
      <c r="D13" s="1">
        <f t="shared" si="4"/>
        <v>46107</v>
      </c>
      <c r="E13" s="1">
        <f t="shared" si="4"/>
        <v>46108</v>
      </c>
      <c r="F13" s="2">
        <f t="shared" si="4"/>
        <v>46109</v>
      </c>
      <c r="G13" s="2">
        <f t="shared" si="4"/>
        <v>46110</v>
      </c>
      <c r="H13" s="4"/>
      <c r="I13" s="3"/>
      <c r="J13" s="3"/>
      <c r="K13" s="3"/>
      <c r="L13" s="3"/>
      <c r="M13" s="3"/>
    </row>
    <row r="14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6" t="s">
        <v>7</v>
      </c>
      <c r="G14" s="6" t="s">
        <v>8</v>
      </c>
      <c r="H14" s="4"/>
      <c r="I14" s="3"/>
      <c r="J14" s="3"/>
      <c r="K14" s="3"/>
      <c r="L14" s="3"/>
      <c r="M14" s="3"/>
    </row>
    <row r="15">
      <c r="A15" s="7" t="s">
        <v>34</v>
      </c>
      <c r="B15" s="4" t="s">
        <v>22</v>
      </c>
      <c r="C15" s="7" t="s">
        <v>12</v>
      </c>
      <c r="D15" s="4" t="s">
        <v>22</v>
      </c>
      <c r="E15" s="7" t="s">
        <v>34</v>
      </c>
      <c r="F15" s="7" t="s">
        <v>35</v>
      </c>
      <c r="G15" s="7" t="s">
        <v>20</v>
      </c>
      <c r="H15" s="4" t="s">
        <v>36</v>
      </c>
      <c r="I15" s="3"/>
      <c r="J15" s="3"/>
      <c r="K15" s="3"/>
      <c r="L15" s="3"/>
    </row>
    <row r="16">
      <c r="A16" s="1">
        <f t="shared" ref="A16:B16" si="5">A13+7</f>
        <v>46111</v>
      </c>
      <c r="B16" s="1">
        <f t="shared" si="5"/>
        <v>46112</v>
      </c>
      <c r="C16" s="1"/>
      <c r="D16" s="1"/>
      <c r="E16" s="1"/>
      <c r="F16" s="2"/>
      <c r="G16" s="2"/>
    </row>
    <row r="17">
      <c r="A17" s="5" t="s">
        <v>2</v>
      </c>
      <c r="B17" s="5" t="s">
        <v>3</v>
      </c>
      <c r="C17" s="5"/>
      <c r="D17" s="5"/>
      <c r="E17" s="5"/>
      <c r="F17" s="6"/>
      <c r="G17" s="6"/>
    </row>
    <row r="18">
      <c r="A18" s="4" t="s">
        <v>26</v>
      </c>
      <c r="B18" s="7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45697.0</v>
      </c>
      <c r="B1" s="1">
        <v>45698.0</v>
      </c>
      <c r="C1" s="1">
        <v>45699.0</v>
      </c>
      <c r="D1" s="1">
        <v>45700.0</v>
      </c>
      <c r="E1" s="1">
        <v>45701.0</v>
      </c>
      <c r="F1" s="2">
        <v>45702.0</v>
      </c>
      <c r="G1" s="2">
        <v>45703.0</v>
      </c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6" t="s">
        <v>7</v>
      </c>
      <c r="G2" s="6" t="s">
        <v>8</v>
      </c>
    </row>
    <row r="3">
      <c r="A3" s="7"/>
      <c r="B3" s="7"/>
      <c r="C3" s="7"/>
      <c r="D3" s="7"/>
      <c r="E3" s="7"/>
      <c r="F3" s="7" t="s">
        <v>12</v>
      </c>
      <c r="G3" s="7" t="s">
        <v>12</v>
      </c>
      <c r="H3" s="4" t="s">
        <v>37</v>
      </c>
    </row>
    <row r="4">
      <c r="F4" s="4" t="s">
        <v>22</v>
      </c>
      <c r="G4" s="4"/>
      <c r="H4" s="4" t="s">
        <v>38</v>
      </c>
    </row>
    <row r="5">
      <c r="F5" s="4" t="s">
        <v>12</v>
      </c>
      <c r="G5" s="4" t="s">
        <v>35</v>
      </c>
      <c r="H5" s="4" t="s">
        <v>39</v>
      </c>
    </row>
    <row r="6">
      <c r="A6" s="2">
        <f t="shared" ref="A6:G6" si="1">A1+7</f>
        <v>45704</v>
      </c>
      <c r="B6" s="2">
        <f t="shared" si="1"/>
        <v>45705</v>
      </c>
      <c r="C6" s="2">
        <f t="shared" si="1"/>
        <v>45706</v>
      </c>
      <c r="D6" s="2">
        <f t="shared" si="1"/>
        <v>45707</v>
      </c>
      <c r="E6" s="2">
        <f t="shared" si="1"/>
        <v>45708</v>
      </c>
      <c r="F6" s="2">
        <f t="shared" si="1"/>
        <v>45709</v>
      </c>
      <c r="G6" s="2">
        <f t="shared" si="1"/>
        <v>45710</v>
      </c>
      <c r="H6" s="3"/>
    </row>
    <row r="7">
      <c r="A7" s="6" t="s">
        <v>40</v>
      </c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3"/>
    </row>
    <row r="8">
      <c r="A8" s="7" t="s">
        <v>12</v>
      </c>
      <c r="B8" s="7" t="s">
        <v>12</v>
      </c>
      <c r="C8" s="4" t="s">
        <v>20</v>
      </c>
      <c r="D8" s="4" t="s">
        <v>20</v>
      </c>
      <c r="E8" s="4" t="s">
        <v>20</v>
      </c>
      <c r="F8" s="4" t="s">
        <v>20</v>
      </c>
      <c r="G8" s="4" t="s">
        <v>22</v>
      </c>
      <c r="H8" s="4" t="s">
        <v>37</v>
      </c>
    </row>
    <row r="9">
      <c r="A9" s="3"/>
      <c r="B9" s="3"/>
      <c r="C9" s="3"/>
      <c r="D9" s="3"/>
      <c r="E9" s="4"/>
      <c r="F9" s="4" t="s">
        <v>22</v>
      </c>
      <c r="G9" s="4"/>
      <c r="H9" s="4" t="s">
        <v>38</v>
      </c>
    </row>
    <row r="10">
      <c r="A10" s="4" t="s">
        <v>34</v>
      </c>
      <c r="B10" s="7" t="s">
        <v>12</v>
      </c>
      <c r="C10" s="4" t="s">
        <v>20</v>
      </c>
      <c r="D10" s="4" t="s">
        <v>22</v>
      </c>
      <c r="E10" s="4" t="s">
        <v>27</v>
      </c>
      <c r="F10" s="4" t="s">
        <v>20</v>
      </c>
      <c r="G10" s="4" t="s">
        <v>32</v>
      </c>
      <c r="H10" s="4" t="s">
        <v>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2"/>
      <c r="G1" s="2">
        <v>46054.0</v>
      </c>
      <c r="H1" s="3"/>
      <c r="I1" s="4" t="s">
        <v>0</v>
      </c>
      <c r="J1" s="4" t="s">
        <v>1</v>
      </c>
      <c r="K1" s="3"/>
      <c r="L1" s="3"/>
      <c r="M1" s="3"/>
    </row>
    <row r="2">
      <c r="A2" s="5"/>
      <c r="B2" s="5"/>
      <c r="C2" s="5"/>
      <c r="D2" s="5"/>
      <c r="E2" s="5"/>
      <c r="F2" s="6"/>
      <c r="G2" s="6" t="s">
        <v>8</v>
      </c>
      <c r="H2" s="4" t="s">
        <v>9</v>
      </c>
      <c r="I2" s="3">
        <f>COUNTIF(A1:E15,"見賢")</f>
        <v>5</v>
      </c>
      <c r="J2" s="3">
        <f>COUNTIF(F1:G15,"見賢")</f>
        <v>2</v>
      </c>
      <c r="K2" s="4"/>
      <c r="L2" s="3"/>
      <c r="M2" s="3"/>
    </row>
    <row r="3">
      <c r="A3" s="7"/>
      <c r="B3" s="7"/>
      <c r="C3" s="7"/>
      <c r="D3" s="7"/>
      <c r="E3" s="7"/>
      <c r="F3" s="7"/>
      <c r="G3" s="4" t="s">
        <v>22</v>
      </c>
      <c r="H3" s="4" t="s">
        <v>41</v>
      </c>
      <c r="I3" s="3">
        <f>COUNTIF(A1:E15,"常胤")</f>
        <v>5</v>
      </c>
      <c r="J3" s="3">
        <f>COUNTIF(F1:G15,"常胤")</f>
        <v>2</v>
      </c>
      <c r="K3" s="4" t="s">
        <v>42</v>
      </c>
      <c r="L3" s="4" t="s">
        <v>43</v>
      </c>
      <c r="M3" s="4" t="s">
        <v>44</v>
      </c>
    </row>
    <row r="4">
      <c r="A4" s="1">
        <v>46055.0</v>
      </c>
      <c r="B4" s="1">
        <v>46056.0</v>
      </c>
      <c r="C4" s="1">
        <v>46057.0</v>
      </c>
      <c r="D4" s="1">
        <v>46058.0</v>
      </c>
      <c r="E4" s="1">
        <v>46059.0</v>
      </c>
      <c r="F4" s="2">
        <v>46060.0</v>
      </c>
      <c r="G4" s="2">
        <v>46061.0</v>
      </c>
      <c r="H4" s="4" t="s">
        <v>16</v>
      </c>
      <c r="I4" s="3">
        <f>COUNTIF(A1:E15,"麒翔")</f>
        <v>5</v>
      </c>
      <c r="J4" s="3">
        <f>COUNTIF(F1:G15,"麒翔")</f>
        <v>2</v>
      </c>
      <c r="K4" s="4"/>
      <c r="L4" s="4" t="s">
        <v>18</v>
      </c>
      <c r="M4" s="3"/>
    </row>
    <row r="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6" t="s">
        <v>7</v>
      </c>
      <c r="G5" s="6" t="s">
        <v>8</v>
      </c>
      <c r="H5" s="4" t="s">
        <v>45</v>
      </c>
      <c r="I5" s="3"/>
      <c r="J5" s="3"/>
      <c r="K5" s="3"/>
      <c r="L5" s="3"/>
      <c r="M5" s="3"/>
    </row>
    <row r="6">
      <c r="A6" s="7" t="s">
        <v>20</v>
      </c>
      <c r="B6" s="4" t="s">
        <v>12</v>
      </c>
      <c r="C6" s="7" t="s">
        <v>20</v>
      </c>
      <c r="D6" s="4" t="s">
        <v>22</v>
      </c>
      <c r="E6" s="4" t="s">
        <v>12</v>
      </c>
      <c r="F6" s="4" t="s">
        <v>20</v>
      </c>
      <c r="G6" s="7" t="s">
        <v>12</v>
      </c>
      <c r="H6" s="4" t="s">
        <v>46</v>
      </c>
      <c r="I6" s="3">
        <f>COUNTIF(A1:E15,"展瀚")</f>
        <v>2</v>
      </c>
      <c r="J6" s="3">
        <f>COUNTIF(F1:G15,"展瀚")</f>
        <v>0</v>
      </c>
      <c r="K6" s="3"/>
      <c r="L6" s="3"/>
      <c r="M6" s="3"/>
    </row>
    <row r="7">
      <c r="A7" s="1">
        <v>45697.0</v>
      </c>
      <c r="B7" s="1">
        <v>45698.0</v>
      </c>
      <c r="C7" s="1">
        <v>45699.0</v>
      </c>
      <c r="D7" s="1">
        <v>45700.0</v>
      </c>
      <c r="E7" s="1">
        <v>45701.0</v>
      </c>
      <c r="F7" s="2">
        <v>45702.0</v>
      </c>
      <c r="G7" s="2">
        <v>45703.0</v>
      </c>
      <c r="H7" s="4" t="s">
        <v>47</v>
      </c>
      <c r="I7" s="3">
        <f>COUNTIF(A1:E15,"建寬")</f>
        <v>1</v>
      </c>
      <c r="J7" s="3">
        <f>COUNTIF(F2:G16,"建寬")</f>
        <v>0</v>
      </c>
      <c r="K7" s="3"/>
      <c r="L7" s="3"/>
      <c r="M7" s="3"/>
    </row>
    <row r="8">
      <c r="A8" s="5" t="s">
        <v>2</v>
      </c>
      <c r="B8" s="5" t="s">
        <v>3</v>
      </c>
      <c r="C8" s="5" t="s">
        <v>4</v>
      </c>
      <c r="D8" s="5" t="s">
        <v>5</v>
      </c>
      <c r="E8" s="5" t="s">
        <v>6</v>
      </c>
      <c r="F8" s="6" t="s">
        <v>7</v>
      </c>
      <c r="G8" s="6" t="s">
        <v>8</v>
      </c>
      <c r="H8" s="4" t="s">
        <v>48</v>
      </c>
      <c r="L8" s="3"/>
      <c r="M8" s="3"/>
    </row>
    <row r="9">
      <c r="A9" s="4" t="s">
        <v>22</v>
      </c>
      <c r="B9" s="4" t="s">
        <v>21</v>
      </c>
      <c r="C9" s="4" t="s">
        <v>21</v>
      </c>
      <c r="D9" s="4" t="s">
        <v>22</v>
      </c>
      <c r="E9" s="4" t="s">
        <v>20</v>
      </c>
      <c r="F9" s="7" t="s">
        <v>12</v>
      </c>
      <c r="G9" s="4" t="s">
        <v>35</v>
      </c>
      <c r="H9" s="4" t="s">
        <v>28</v>
      </c>
      <c r="I9" s="3">
        <f>COUNTIF(A1:E15,"昭祐")</f>
        <v>0</v>
      </c>
      <c r="J9" s="3">
        <f>COUNTIF(F2:G16, "昭佑")</f>
        <v>1</v>
      </c>
      <c r="K9" s="4"/>
      <c r="L9" s="3"/>
      <c r="M9" s="3"/>
    </row>
    <row r="10">
      <c r="A10" s="2">
        <v>46069.0</v>
      </c>
      <c r="B10" s="2">
        <v>46070.0</v>
      </c>
      <c r="C10" s="2">
        <v>46071.0</v>
      </c>
      <c r="D10" s="2">
        <v>46072.0</v>
      </c>
      <c r="E10" s="2">
        <v>46073.0</v>
      </c>
      <c r="F10" s="2">
        <v>46074.0</v>
      </c>
      <c r="G10" s="2">
        <v>46075.0</v>
      </c>
      <c r="H10" s="4" t="s">
        <v>29</v>
      </c>
      <c r="I10" s="3">
        <f>COUNTIF(A1:E15,"朝允")</f>
        <v>1</v>
      </c>
      <c r="J10" s="3">
        <f>COUNTIF(F1:G15,"朝允")</f>
        <v>0</v>
      </c>
      <c r="K10" s="4"/>
      <c r="L10" s="3"/>
      <c r="M10" s="3"/>
    </row>
    <row r="11">
      <c r="A11" s="6" t="s">
        <v>40</v>
      </c>
      <c r="B11" s="6" t="s">
        <v>3</v>
      </c>
      <c r="C11" s="6" t="s">
        <v>4</v>
      </c>
      <c r="D11" s="6" t="s">
        <v>5</v>
      </c>
      <c r="E11" s="6" t="s">
        <v>6</v>
      </c>
      <c r="F11" s="6" t="s">
        <v>7</v>
      </c>
      <c r="G11" s="6" t="s">
        <v>8</v>
      </c>
      <c r="H11" s="4" t="s">
        <v>30</v>
      </c>
      <c r="I11" s="3">
        <f>COUNTIF(A1:E15,"則瑋")</f>
        <v>1</v>
      </c>
      <c r="J11" s="3">
        <f>COUNTIF(F2:G16,"則瑋")</f>
        <v>0</v>
      </c>
      <c r="K11" s="4" t="s">
        <v>31</v>
      </c>
      <c r="L11" s="3"/>
      <c r="M11" s="3"/>
    </row>
    <row r="12">
      <c r="A12" s="4" t="s">
        <v>34</v>
      </c>
      <c r="B12" s="7" t="s">
        <v>12</v>
      </c>
      <c r="C12" s="4" t="s">
        <v>20</v>
      </c>
      <c r="D12" s="4" t="s">
        <v>22</v>
      </c>
      <c r="E12" s="4" t="s">
        <v>27</v>
      </c>
      <c r="F12" s="4" t="s">
        <v>20</v>
      </c>
      <c r="G12" s="4" t="s">
        <v>32</v>
      </c>
      <c r="H12" s="4" t="s">
        <v>33</v>
      </c>
      <c r="I12" s="3">
        <f>COUNTIF(A1:E15,"廖瑀")</f>
        <v>0</v>
      </c>
      <c r="J12" s="3">
        <f>COUNTIF(F4:G18,"廖瑀")</f>
        <v>1</v>
      </c>
      <c r="K12" s="4"/>
      <c r="L12" s="3"/>
      <c r="M12" s="3"/>
    </row>
    <row r="13">
      <c r="A13" s="1">
        <v>46076.0</v>
      </c>
      <c r="B13" s="1">
        <v>46077.0</v>
      </c>
      <c r="C13" s="1">
        <v>46078.0</v>
      </c>
      <c r="D13" s="1">
        <v>46079.0</v>
      </c>
      <c r="E13" s="2">
        <v>46080.0</v>
      </c>
      <c r="F13" s="2">
        <v>46081.0</v>
      </c>
      <c r="G13" s="2"/>
      <c r="H13" s="4" t="s">
        <v>49</v>
      </c>
      <c r="I13" s="3"/>
      <c r="J13" s="3"/>
      <c r="K13" s="3"/>
      <c r="L13" s="3"/>
      <c r="M13" s="3"/>
    </row>
    <row r="14">
      <c r="A14" s="5" t="s">
        <v>2</v>
      </c>
      <c r="B14" s="5" t="s">
        <v>3</v>
      </c>
      <c r="C14" s="5" t="s">
        <v>4</v>
      </c>
      <c r="D14" s="5" t="s">
        <v>5</v>
      </c>
      <c r="E14" s="6" t="s">
        <v>6</v>
      </c>
      <c r="F14" s="6" t="s">
        <v>7</v>
      </c>
      <c r="G14" s="6"/>
      <c r="H14" s="4"/>
      <c r="I14" s="3"/>
      <c r="J14" s="3"/>
      <c r="K14" s="3"/>
      <c r="L14" s="3"/>
      <c r="M14" s="3"/>
    </row>
    <row r="15">
      <c r="A15" s="7" t="s">
        <v>26</v>
      </c>
      <c r="B15" s="7" t="s">
        <v>22</v>
      </c>
      <c r="C15" s="7" t="s">
        <v>12</v>
      </c>
      <c r="D15" s="4" t="s">
        <v>20</v>
      </c>
      <c r="E15" s="7" t="s">
        <v>12</v>
      </c>
      <c r="F15" s="4" t="s">
        <v>22</v>
      </c>
      <c r="G15" s="7"/>
      <c r="H15" s="3"/>
      <c r="I15" s="3"/>
      <c r="J15" s="3"/>
      <c r="K15" s="3"/>
      <c r="L15" s="3"/>
    </row>
    <row r="16">
      <c r="E16" s="7"/>
    </row>
    <row r="21">
      <c r="C21" s="9"/>
      <c r="D21" s="9"/>
      <c r="E21" s="9"/>
      <c r="F21" s="9"/>
      <c r="G21" s="9"/>
      <c r="H21" s="9"/>
      <c r="I21" s="9"/>
    </row>
    <row r="22">
      <c r="C22" s="4"/>
      <c r="D22" s="4"/>
      <c r="E22" s="4"/>
      <c r="F22" s="4"/>
      <c r="G22" s="4"/>
      <c r="H22" s="4">
        <v>1.0</v>
      </c>
      <c r="I22" s="4"/>
    </row>
    <row r="23">
      <c r="C23" s="7"/>
      <c r="D23" s="7"/>
      <c r="E23" s="7"/>
      <c r="F23" s="7"/>
      <c r="G23" s="7"/>
      <c r="H23" s="7"/>
      <c r="I23" s="7"/>
    </row>
    <row r="24">
      <c r="H24" s="4"/>
      <c r="I24" s="4"/>
    </row>
    <row r="25">
      <c r="F25" s="8" t="s">
        <v>50</v>
      </c>
      <c r="H25" s="4"/>
      <c r="I25" s="4"/>
    </row>
    <row r="26">
      <c r="C26" s="9"/>
      <c r="D26" s="9"/>
      <c r="E26" s="9"/>
      <c r="F26" s="9"/>
      <c r="G26" s="9"/>
      <c r="H26" s="9"/>
      <c r="I26" s="9"/>
    </row>
    <row r="27">
      <c r="C27" s="4"/>
      <c r="D27" s="4"/>
      <c r="E27" s="4"/>
      <c r="F27" s="4"/>
      <c r="G27" s="4"/>
      <c r="H27" s="4"/>
      <c r="I27" s="4"/>
    </row>
    <row r="28">
      <c r="C28" s="7"/>
      <c r="D28" s="7"/>
      <c r="E28" s="4"/>
      <c r="F28" s="4"/>
      <c r="G28" s="4"/>
      <c r="H28" s="4"/>
      <c r="I28" s="4"/>
    </row>
    <row r="29">
      <c r="C29" s="3"/>
      <c r="D29" s="3"/>
      <c r="E29" s="3"/>
      <c r="F29" s="3"/>
      <c r="G29" s="4"/>
      <c r="H29" s="4"/>
      <c r="I29" s="4"/>
    </row>
    <row r="30">
      <c r="C30" s="4"/>
      <c r="D30" s="7"/>
      <c r="E30" s="4"/>
      <c r="F30" s="4"/>
      <c r="G30" s="4"/>
      <c r="H30" s="4"/>
      <c r="I3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46020.0</v>
      </c>
      <c r="B1" s="1">
        <v>46021.0</v>
      </c>
      <c r="C1" s="1">
        <v>46022.0</v>
      </c>
      <c r="D1" s="2">
        <v>46023.0</v>
      </c>
      <c r="E1" s="1">
        <v>46024.0</v>
      </c>
      <c r="F1" s="2">
        <v>46025.0</v>
      </c>
      <c r="G1" s="2">
        <v>46026.0</v>
      </c>
      <c r="H1" s="3"/>
      <c r="I1" s="4" t="s">
        <v>0</v>
      </c>
      <c r="J1" s="4" t="s">
        <v>1</v>
      </c>
      <c r="K1" s="3"/>
      <c r="L1" s="3"/>
      <c r="M1" s="3"/>
    </row>
    <row r="2">
      <c r="A2" s="5" t="s">
        <v>2</v>
      </c>
      <c r="B2" s="5" t="s">
        <v>3</v>
      </c>
      <c r="C2" s="5" t="s">
        <v>4</v>
      </c>
      <c r="D2" s="6" t="s">
        <v>5</v>
      </c>
      <c r="E2" s="5" t="s">
        <v>6</v>
      </c>
      <c r="F2" s="6" t="s">
        <v>7</v>
      </c>
      <c r="G2" s="6" t="s">
        <v>8</v>
      </c>
      <c r="H2" s="4" t="s">
        <v>9</v>
      </c>
      <c r="I2" s="3">
        <f>COUNTIF(A1:E15,"見賢")</f>
        <v>6</v>
      </c>
      <c r="J2" s="3">
        <f>COUNTIF(F1:G15,"見賢")</f>
        <v>2</v>
      </c>
      <c r="K2" s="4"/>
      <c r="L2" s="3"/>
      <c r="M2" s="3"/>
    </row>
    <row r="3">
      <c r="A3" s="7" t="s">
        <v>22</v>
      </c>
      <c r="B3" s="7" t="s">
        <v>12</v>
      </c>
      <c r="C3" s="7" t="s">
        <v>20</v>
      </c>
      <c r="D3" s="7" t="s">
        <v>34</v>
      </c>
      <c r="E3" s="7" t="s">
        <v>35</v>
      </c>
      <c r="F3" s="7" t="s">
        <v>12</v>
      </c>
      <c r="G3" s="7" t="s">
        <v>22</v>
      </c>
      <c r="H3" s="4" t="s">
        <v>41</v>
      </c>
      <c r="I3" s="3">
        <f>COUNTIF(A1:E15,"常胤")</f>
        <v>6</v>
      </c>
      <c r="J3" s="3">
        <f>COUNTIF(F1:G15,"常胤")</f>
        <v>2</v>
      </c>
      <c r="K3" s="4" t="s">
        <v>42</v>
      </c>
      <c r="L3" s="4" t="s">
        <v>43</v>
      </c>
      <c r="M3" s="4"/>
    </row>
    <row r="4">
      <c r="A4" s="1">
        <f t="shared" ref="A4:G4" si="1">A1+7</f>
        <v>46027</v>
      </c>
      <c r="B4" s="1">
        <f t="shared" si="1"/>
        <v>46028</v>
      </c>
      <c r="C4" s="1">
        <f t="shared" si="1"/>
        <v>46029</v>
      </c>
      <c r="D4" s="1">
        <f t="shared" si="1"/>
        <v>46030</v>
      </c>
      <c r="E4" s="1">
        <f t="shared" si="1"/>
        <v>46031</v>
      </c>
      <c r="F4" s="2">
        <f t="shared" si="1"/>
        <v>46032</v>
      </c>
      <c r="G4" s="2">
        <f t="shared" si="1"/>
        <v>46033</v>
      </c>
      <c r="H4" s="4" t="s">
        <v>16</v>
      </c>
      <c r="I4" s="3">
        <f>COUNTIF(A1:E15,"麒翔")</f>
        <v>6</v>
      </c>
      <c r="J4" s="3">
        <f>COUNTIF(F1:G15,"麒翔")</f>
        <v>2</v>
      </c>
      <c r="K4" s="4"/>
      <c r="L4" s="4" t="s">
        <v>18</v>
      </c>
      <c r="M4" s="3"/>
    </row>
    <row r="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6" t="s">
        <v>7</v>
      </c>
      <c r="G5" s="6" t="s">
        <v>8</v>
      </c>
      <c r="H5" s="4" t="s">
        <v>45</v>
      </c>
      <c r="I5" s="3"/>
      <c r="J5" s="3"/>
      <c r="K5" s="3"/>
      <c r="L5" s="3"/>
      <c r="M5" s="3"/>
    </row>
    <row r="6">
      <c r="A6" s="7" t="s">
        <v>20</v>
      </c>
      <c r="B6" s="7" t="s">
        <v>21</v>
      </c>
      <c r="C6" s="7" t="s">
        <v>21</v>
      </c>
      <c r="D6" s="7" t="s">
        <v>22</v>
      </c>
      <c r="E6" s="7" t="s">
        <v>32</v>
      </c>
      <c r="F6" s="7" t="s">
        <v>20</v>
      </c>
      <c r="G6" s="7" t="s">
        <v>12</v>
      </c>
      <c r="H6" s="4" t="s">
        <v>46</v>
      </c>
      <c r="I6" s="3">
        <f>COUNTIF(A1:E15,"展瀚")</f>
        <v>3</v>
      </c>
      <c r="J6" s="3">
        <f>COUNTIF(F1:G15,"展瀚")</f>
        <v>0</v>
      </c>
      <c r="K6" s="3"/>
      <c r="L6" s="3"/>
      <c r="M6" s="3"/>
    </row>
    <row r="7">
      <c r="A7" s="1">
        <f t="shared" ref="A7:G7" si="2">A4+7</f>
        <v>46034</v>
      </c>
      <c r="B7" s="1">
        <f t="shared" si="2"/>
        <v>46035</v>
      </c>
      <c r="C7" s="1">
        <f t="shared" si="2"/>
        <v>46036</v>
      </c>
      <c r="D7" s="1">
        <f t="shared" si="2"/>
        <v>46037</v>
      </c>
      <c r="E7" s="1">
        <f t="shared" si="2"/>
        <v>46038</v>
      </c>
      <c r="F7" s="2">
        <f t="shared" si="2"/>
        <v>46039</v>
      </c>
      <c r="G7" s="2">
        <f t="shared" si="2"/>
        <v>46040</v>
      </c>
      <c r="H7" s="4" t="s">
        <v>47</v>
      </c>
      <c r="I7" s="3">
        <f>COUNTIF(A1:E15,"建寬")</f>
        <v>0</v>
      </c>
      <c r="J7" s="3">
        <f>COUNTIF(F2:G16,"建寬")</f>
        <v>0</v>
      </c>
      <c r="K7" s="3"/>
      <c r="L7" s="3"/>
      <c r="M7" s="3"/>
    </row>
    <row r="8">
      <c r="A8" s="5" t="s">
        <v>2</v>
      </c>
      <c r="B8" s="5" t="s">
        <v>3</v>
      </c>
      <c r="C8" s="5" t="s">
        <v>4</v>
      </c>
      <c r="D8" s="5" t="s">
        <v>5</v>
      </c>
      <c r="E8" s="5" t="s">
        <v>6</v>
      </c>
      <c r="F8" s="6" t="s">
        <v>7</v>
      </c>
      <c r="G8" s="6" t="s">
        <v>8</v>
      </c>
      <c r="H8" s="4" t="s">
        <v>48</v>
      </c>
      <c r="L8" s="3"/>
      <c r="M8" s="3"/>
    </row>
    <row r="9">
      <c r="A9" s="7" t="s">
        <v>20</v>
      </c>
      <c r="B9" s="7" t="s">
        <v>21</v>
      </c>
      <c r="C9" s="7" t="s">
        <v>20</v>
      </c>
      <c r="D9" s="7" t="s">
        <v>12</v>
      </c>
      <c r="E9" s="7" t="s">
        <v>20</v>
      </c>
      <c r="F9" s="7" t="s">
        <v>27</v>
      </c>
      <c r="G9" s="7" t="s">
        <v>32</v>
      </c>
      <c r="H9" s="4" t="s">
        <v>28</v>
      </c>
      <c r="I9" s="3">
        <f>COUNTIF(A1:E15,"昭祐")</f>
        <v>0</v>
      </c>
      <c r="J9" s="3">
        <f>COUNTIF(F2:G16, "昭佑")</f>
        <v>1</v>
      </c>
      <c r="K9" s="4"/>
      <c r="L9" s="3"/>
      <c r="M9" s="3"/>
    </row>
    <row r="10">
      <c r="A10" s="1">
        <f t="shared" ref="A10:G10" si="3">A7+7</f>
        <v>46041</v>
      </c>
      <c r="B10" s="1">
        <f t="shared" si="3"/>
        <v>46042</v>
      </c>
      <c r="C10" s="1">
        <f t="shared" si="3"/>
        <v>46043</v>
      </c>
      <c r="D10" s="1">
        <f t="shared" si="3"/>
        <v>46044</v>
      </c>
      <c r="E10" s="1">
        <f t="shared" si="3"/>
        <v>46045</v>
      </c>
      <c r="F10" s="2">
        <f t="shared" si="3"/>
        <v>46046</v>
      </c>
      <c r="G10" s="2">
        <f t="shared" si="3"/>
        <v>46047</v>
      </c>
      <c r="H10" s="4" t="s">
        <v>29</v>
      </c>
      <c r="I10" s="3">
        <f>COUNTIF(A1:E15,"朝允")</f>
        <v>1</v>
      </c>
      <c r="J10" s="3">
        <f>COUNTIF(F1:G15,"朝允")</f>
        <v>1</v>
      </c>
      <c r="K10" s="4"/>
      <c r="L10" s="3"/>
      <c r="M10" s="3"/>
    </row>
    <row r="11">
      <c r="A11" s="5" t="s">
        <v>2</v>
      </c>
      <c r="B11" s="5" t="s">
        <v>3</v>
      </c>
      <c r="C11" s="5" t="s">
        <v>4</v>
      </c>
      <c r="D11" s="5" t="s">
        <v>5</v>
      </c>
      <c r="E11" s="5" t="s">
        <v>6</v>
      </c>
      <c r="F11" s="6" t="s">
        <v>7</v>
      </c>
      <c r="G11" s="6" t="s">
        <v>8</v>
      </c>
      <c r="H11" s="4" t="s">
        <v>30</v>
      </c>
      <c r="I11" s="3">
        <f>COUNTIF(A1:E15,"則瑋")</f>
        <v>1</v>
      </c>
      <c r="J11" s="3">
        <f>COUNTIF(F2:G16,"則瑋")</f>
        <v>0</v>
      </c>
      <c r="K11" s="4" t="s">
        <v>31</v>
      </c>
      <c r="L11" s="3"/>
      <c r="M11" s="3"/>
    </row>
    <row r="12">
      <c r="A12" s="7" t="s">
        <v>12</v>
      </c>
      <c r="B12" s="7" t="s">
        <v>22</v>
      </c>
      <c r="C12" s="7" t="s">
        <v>12</v>
      </c>
      <c r="D12" s="7" t="s">
        <v>22</v>
      </c>
      <c r="E12" s="7" t="s">
        <v>27</v>
      </c>
      <c r="F12" s="7" t="s">
        <v>35</v>
      </c>
      <c r="G12" s="7" t="s">
        <v>22</v>
      </c>
      <c r="H12" s="4" t="s">
        <v>33</v>
      </c>
      <c r="I12" s="3">
        <f>COUNTIF(A1:E15,"廖瑀")</f>
        <v>1</v>
      </c>
      <c r="J12" s="3">
        <f>COUNTIF(F4:G18,"廖瑀")</f>
        <v>1</v>
      </c>
      <c r="K12" s="4"/>
      <c r="L12" s="3"/>
      <c r="M12" s="3"/>
    </row>
    <row r="13">
      <c r="A13" s="1">
        <f t="shared" ref="A13:G13" si="4">A10+7</f>
        <v>46048</v>
      </c>
      <c r="B13" s="1">
        <f t="shared" si="4"/>
        <v>46049</v>
      </c>
      <c r="C13" s="1">
        <f t="shared" si="4"/>
        <v>46050</v>
      </c>
      <c r="D13" s="1">
        <f t="shared" si="4"/>
        <v>46051</v>
      </c>
      <c r="E13" s="1">
        <f t="shared" si="4"/>
        <v>46052</v>
      </c>
      <c r="F13" s="2">
        <f t="shared" si="4"/>
        <v>46053</v>
      </c>
      <c r="G13" s="2">
        <f t="shared" si="4"/>
        <v>46054</v>
      </c>
      <c r="H13" s="4" t="s">
        <v>49</v>
      </c>
      <c r="I13" s="3"/>
      <c r="J13" s="3"/>
      <c r="K13" s="3"/>
      <c r="L13" s="3"/>
      <c r="M13" s="3"/>
    </row>
    <row r="14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6" t="s">
        <v>7</v>
      </c>
      <c r="G14" s="6" t="s">
        <v>8</v>
      </c>
      <c r="H14" s="4" t="s">
        <v>51</v>
      </c>
      <c r="I14" s="3"/>
      <c r="J14" s="3"/>
      <c r="K14" s="3"/>
      <c r="L14" s="3"/>
      <c r="M14" s="3"/>
    </row>
    <row r="15">
      <c r="A15" s="7" t="s">
        <v>12</v>
      </c>
      <c r="B15" s="7" t="s">
        <v>22</v>
      </c>
      <c r="C15" s="7" t="s">
        <v>20</v>
      </c>
      <c r="D15" s="7" t="s">
        <v>22</v>
      </c>
      <c r="E15" s="7" t="s">
        <v>12</v>
      </c>
      <c r="F15" s="7" t="s">
        <v>20</v>
      </c>
      <c r="G15" s="7"/>
      <c r="H15" s="3"/>
      <c r="I15" s="3"/>
      <c r="J15" s="3"/>
      <c r="K15" s="3"/>
      <c r="L15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45992.0</v>
      </c>
      <c r="B1" s="1">
        <v>45993.0</v>
      </c>
      <c r="C1" s="1">
        <v>45994.0</v>
      </c>
      <c r="D1" s="1">
        <v>45995.0</v>
      </c>
      <c r="E1" s="1">
        <v>45996.0</v>
      </c>
      <c r="F1" s="2">
        <v>45997.0</v>
      </c>
      <c r="G1" s="2">
        <v>45998.0</v>
      </c>
      <c r="H1" s="3"/>
      <c r="I1" s="4" t="s">
        <v>0</v>
      </c>
      <c r="J1" s="4" t="s">
        <v>1</v>
      </c>
      <c r="K1" s="3"/>
      <c r="L1" s="3"/>
      <c r="M1" s="3"/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6" t="s">
        <v>7</v>
      </c>
      <c r="G2" s="6" t="s">
        <v>8</v>
      </c>
      <c r="H2" s="4" t="s">
        <v>9</v>
      </c>
      <c r="I2" s="3">
        <f>COUNTIF(A1:E15,"見賢")</f>
        <v>6</v>
      </c>
      <c r="J2" s="3">
        <f>COUNTIF(F1:G15,"見賢")</f>
        <v>1</v>
      </c>
      <c r="K2" s="4" t="s">
        <v>52</v>
      </c>
      <c r="L2" s="3"/>
      <c r="M2" s="3"/>
    </row>
    <row r="3">
      <c r="A3" s="4" t="s">
        <v>26</v>
      </c>
      <c r="B3" s="4" t="s">
        <v>12</v>
      </c>
      <c r="C3" s="7" t="s">
        <v>21</v>
      </c>
      <c r="D3" s="7" t="s">
        <v>12</v>
      </c>
      <c r="E3" s="7" t="s">
        <v>20</v>
      </c>
      <c r="F3" s="7" t="s">
        <v>22</v>
      </c>
      <c r="G3" s="7" t="s">
        <v>12</v>
      </c>
      <c r="H3" s="4" t="s">
        <v>13</v>
      </c>
      <c r="I3" s="3">
        <f>COUNTIF(A1:E15,"常胤")</f>
        <v>6</v>
      </c>
      <c r="J3" s="3">
        <f>COUNTIF(F1:G15,"常胤")</f>
        <v>1</v>
      </c>
      <c r="K3" s="4" t="s">
        <v>53</v>
      </c>
      <c r="L3" s="4" t="s">
        <v>54</v>
      </c>
      <c r="M3" s="4"/>
    </row>
    <row r="4">
      <c r="A4" s="1">
        <f t="shared" ref="A4:G4" si="1">A1+7</f>
        <v>45999</v>
      </c>
      <c r="B4" s="1">
        <f t="shared" si="1"/>
        <v>46000</v>
      </c>
      <c r="C4" s="1">
        <f t="shared" si="1"/>
        <v>46001</v>
      </c>
      <c r="D4" s="1">
        <f t="shared" si="1"/>
        <v>46002</v>
      </c>
      <c r="E4" s="1">
        <f t="shared" si="1"/>
        <v>46003</v>
      </c>
      <c r="F4" s="2">
        <f t="shared" si="1"/>
        <v>46004</v>
      </c>
      <c r="G4" s="2">
        <f t="shared" si="1"/>
        <v>46005</v>
      </c>
      <c r="H4" s="4" t="s">
        <v>16</v>
      </c>
      <c r="I4" s="3">
        <f>COUNTIF(A1:E15,"麒翔")</f>
        <v>5</v>
      </c>
      <c r="J4" s="3">
        <f>COUNTIF(F1:G15,"麒翔")</f>
        <v>2</v>
      </c>
      <c r="K4" s="4"/>
      <c r="L4" s="4" t="s">
        <v>55</v>
      </c>
      <c r="M4" s="3"/>
    </row>
    <row r="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6" t="s">
        <v>7</v>
      </c>
      <c r="G5" s="6" t="s">
        <v>8</v>
      </c>
      <c r="H5" s="3"/>
      <c r="I5" s="3"/>
      <c r="J5" s="3"/>
      <c r="K5" s="3"/>
      <c r="L5" s="3"/>
      <c r="M5" s="3"/>
    </row>
    <row r="6">
      <c r="A6" s="7" t="s">
        <v>26</v>
      </c>
      <c r="B6" s="7" t="s">
        <v>21</v>
      </c>
      <c r="C6" s="7" t="s">
        <v>21</v>
      </c>
      <c r="D6" s="7" t="s">
        <v>22</v>
      </c>
      <c r="E6" s="7" t="s">
        <v>12</v>
      </c>
      <c r="F6" s="7" t="s">
        <v>35</v>
      </c>
      <c r="G6" s="7" t="s">
        <v>20</v>
      </c>
      <c r="H6" s="4" t="s">
        <v>23</v>
      </c>
      <c r="I6" s="3">
        <f>COUNTIF(A1:E15,"展瀚")</f>
        <v>3</v>
      </c>
      <c r="J6" s="3">
        <f>COUNTIF(F1:G15,"展瀚")</f>
        <v>0</v>
      </c>
      <c r="K6" s="3"/>
      <c r="L6" s="3"/>
      <c r="M6" s="3"/>
    </row>
    <row r="7">
      <c r="A7" s="1">
        <f t="shared" ref="A7:G7" si="2">A4+7</f>
        <v>46006</v>
      </c>
      <c r="B7" s="1">
        <f t="shared" si="2"/>
        <v>46007</v>
      </c>
      <c r="C7" s="1">
        <f t="shared" si="2"/>
        <v>46008</v>
      </c>
      <c r="D7" s="1">
        <f t="shared" si="2"/>
        <v>46009</v>
      </c>
      <c r="E7" s="1">
        <f t="shared" si="2"/>
        <v>46010</v>
      </c>
      <c r="F7" s="2">
        <f t="shared" si="2"/>
        <v>46011</v>
      </c>
      <c r="G7" s="2">
        <f t="shared" si="2"/>
        <v>46012</v>
      </c>
      <c r="H7" s="4" t="s">
        <v>24</v>
      </c>
      <c r="I7" s="3">
        <f>COUNTIF(A1:E15,"建寬")</f>
        <v>3</v>
      </c>
      <c r="J7" s="3">
        <f>COUNTIF(F2:G16,"建寬")</f>
        <v>0</v>
      </c>
      <c r="K7" s="3"/>
      <c r="L7" s="3"/>
      <c r="M7" s="3"/>
    </row>
    <row r="8">
      <c r="A8" s="5" t="s">
        <v>2</v>
      </c>
      <c r="B8" s="5" t="s">
        <v>3</v>
      </c>
      <c r="C8" s="5" t="s">
        <v>4</v>
      </c>
      <c r="D8" s="5" t="s">
        <v>5</v>
      </c>
      <c r="E8" s="5" t="s">
        <v>6</v>
      </c>
      <c r="F8" s="6" t="s">
        <v>7</v>
      </c>
      <c r="G8" s="6" t="s">
        <v>8</v>
      </c>
      <c r="H8" s="4" t="s">
        <v>28</v>
      </c>
      <c r="I8" s="3">
        <f>COUNTIF(A1:E15,"昭祐")</f>
        <v>0</v>
      </c>
      <c r="J8" s="3">
        <f>COUNTIF(F2:G16, "昭佑")</f>
        <v>1</v>
      </c>
      <c r="K8" s="4" t="s">
        <v>56</v>
      </c>
      <c r="L8" s="3"/>
      <c r="M8" s="3"/>
    </row>
    <row r="9">
      <c r="A9" s="7" t="s">
        <v>26</v>
      </c>
      <c r="B9" s="7" t="s">
        <v>20</v>
      </c>
      <c r="C9" s="7" t="s">
        <v>22</v>
      </c>
      <c r="D9" s="7" t="s">
        <v>20</v>
      </c>
      <c r="E9" s="7" t="s">
        <v>22</v>
      </c>
      <c r="F9" s="7" t="s">
        <v>32</v>
      </c>
      <c r="G9" s="7" t="s">
        <v>20</v>
      </c>
      <c r="H9" s="4" t="s">
        <v>29</v>
      </c>
      <c r="I9" s="3">
        <f>COUNTIF(A1:E15,"朝允")</f>
        <v>0</v>
      </c>
      <c r="J9" s="3">
        <f>COUNTIF(F1:G15,"朝允")</f>
        <v>1</v>
      </c>
      <c r="K9" s="4" t="s">
        <v>57</v>
      </c>
      <c r="L9" s="3"/>
      <c r="M9" s="3"/>
    </row>
    <row r="10">
      <c r="A10" s="1">
        <f t="shared" ref="A10:G10" si="3">A7+7</f>
        <v>46013</v>
      </c>
      <c r="B10" s="1">
        <f t="shared" si="3"/>
        <v>46014</v>
      </c>
      <c r="C10" s="1">
        <f t="shared" si="3"/>
        <v>46015</v>
      </c>
      <c r="D10" s="2">
        <f t="shared" si="3"/>
        <v>46016</v>
      </c>
      <c r="E10" s="1">
        <f t="shared" si="3"/>
        <v>46017</v>
      </c>
      <c r="F10" s="2">
        <f t="shared" si="3"/>
        <v>46018</v>
      </c>
      <c r="G10" s="2">
        <f t="shared" si="3"/>
        <v>46019</v>
      </c>
      <c r="H10" s="4" t="s">
        <v>30</v>
      </c>
      <c r="I10" s="3">
        <f>COUNTIF(A1:E15,"則瑋")</f>
        <v>0</v>
      </c>
      <c r="J10" s="3">
        <f>COUNTIF(F2:G16,"則瑋")</f>
        <v>1</v>
      </c>
      <c r="K10" s="4" t="s">
        <v>31</v>
      </c>
      <c r="L10" s="3"/>
      <c r="M10" s="3"/>
    </row>
    <row r="11">
      <c r="A11" s="5" t="s">
        <v>2</v>
      </c>
      <c r="B11" s="5" t="s">
        <v>3</v>
      </c>
      <c r="C11" s="5" t="s">
        <v>4</v>
      </c>
      <c r="D11" s="6" t="s">
        <v>5</v>
      </c>
      <c r="E11" s="5" t="s">
        <v>6</v>
      </c>
      <c r="F11" s="6" t="s">
        <v>7</v>
      </c>
      <c r="G11" s="6" t="s">
        <v>8</v>
      </c>
      <c r="H11" s="4" t="s">
        <v>33</v>
      </c>
      <c r="I11" s="3">
        <f>COUNTIF(A1:E15,"廖瑀")</f>
        <v>0</v>
      </c>
      <c r="J11" s="3">
        <f>COUNTIF(F4:G18,"廖瑀")</f>
        <v>1</v>
      </c>
      <c r="K11" s="4" t="s">
        <v>56</v>
      </c>
      <c r="L11" s="3"/>
      <c r="M11" s="3"/>
    </row>
    <row r="12">
      <c r="A12" s="7" t="s">
        <v>22</v>
      </c>
      <c r="B12" s="7" t="s">
        <v>12</v>
      </c>
      <c r="C12" s="7" t="s">
        <v>20</v>
      </c>
      <c r="D12" s="7" t="s">
        <v>12</v>
      </c>
      <c r="E12" s="7" t="s">
        <v>22</v>
      </c>
      <c r="F12" s="7" t="s">
        <v>27</v>
      </c>
      <c r="G12" s="7" t="s">
        <v>34</v>
      </c>
      <c r="H12" s="4" t="s">
        <v>58</v>
      </c>
      <c r="I12" s="3"/>
      <c r="J12" s="3"/>
      <c r="K12" s="3"/>
      <c r="L12" s="3"/>
      <c r="M12" s="3"/>
    </row>
    <row r="13">
      <c r="A13" s="1">
        <f t="shared" ref="A13:G13" si="4">A10+7</f>
        <v>46020</v>
      </c>
      <c r="B13" s="1">
        <f t="shared" si="4"/>
        <v>46021</v>
      </c>
      <c r="C13" s="1">
        <f t="shared" si="4"/>
        <v>46022</v>
      </c>
      <c r="D13" s="1">
        <f t="shared" si="4"/>
        <v>46023</v>
      </c>
      <c r="E13" s="1">
        <f t="shared" si="4"/>
        <v>46024</v>
      </c>
      <c r="F13" s="2">
        <f t="shared" si="4"/>
        <v>46025</v>
      </c>
      <c r="G13" s="2">
        <f t="shared" si="4"/>
        <v>46026</v>
      </c>
      <c r="H13" s="4"/>
      <c r="I13" s="3"/>
      <c r="J13" s="3"/>
      <c r="K13" s="3"/>
      <c r="L13" s="3"/>
      <c r="M13" s="3"/>
    </row>
    <row r="14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6" t="s">
        <v>7</v>
      </c>
      <c r="G14" s="6" t="s">
        <v>8</v>
      </c>
      <c r="H14" s="4" t="s">
        <v>59</v>
      </c>
      <c r="I14" s="3"/>
      <c r="J14" s="3"/>
      <c r="K14" s="3"/>
      <c r="L14" s="3"/>
      <c r="M14" s="3"/>
    </row>
    <row r="15">
      <c r="A15" s="7" t="s">
        <v>22</v>
      </c>
      <c r="B15" s="7" t="s">
        <v>12</v>
      </c>
      <c r="C15" s="7" t="s">
        <v>20</v>
      </c>
      <c r="D15" s="7"/>
      <c r="E15" s="7"/>
      <c r="F15" s="7"/>
      <c r="G15" s="7"/>
      <c r="H15" s="3"/>
      <c r="I15" s="3"/>
      <c r="J15" s="3"/>
      <c r="K15" s="3"/>
      <c r="L15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2">
        <v>45962.0</v>
      </c>
      <c r="G1" s="2">
        <v>45963.0</v>
      </c>
      <c r="I1" s="4" t="s">
        <v>0</v>
      </c>
      <c r="J1" s="4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/>
      <c r="B2" s="5"/>
      <c r="C2" s="5"/>
      <c r="D2" s="5"/>
      <c r="E2" s="5"/>
      <c r="F2" s="6" t="s">
        <v>7</v>
      </c>
      <c r="G2" s="6" t="s">
        <v>8</v>
      </c>
      <c r="H2" s="4" t="s">
        <v>9</v>
      </c>
      <c r="I2" s="3">
        <f>COUNTIF(A1:E15,"見賢")</f>
        <v>5</v>
      </c>
      <c r="J2" s="3">
        <f>COUNTIF(F1:G15,"見賢")</f>
        <v>2</v>
      </c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4"/>
      <c r="C3" s="7"/>
      <c r="D3" s="7"/>
      <c r="E3" s="7"/>
      <c r="F3" s="7" t="s">
        <v>12</v>
      </c>
      <c r="G3" s="7" t="s">
        <v>32</v>
      </c>
      <c r="H3" s="4" t="s">
        <v>41</v>
      </c>
      <c r="I3" s="3">
        <f>COUNTIF(A1:E15,"常胤")</f>
        <v>5</v>
      </c>
      <c r="J3" s="3">
        <f>COUNTIF(F1:G15,"常胤")</f>
        <v>2</v>
      </c>
      <c r="K3" s="4" t="s">
        <v>60</v>
      </c>
      <c r="L3" s="4" t="s">
        <v>61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45964.0</v>
      </c>
      <c r="B4" s="1">
        <v>45965.0</v>
      </c>
      <c r="C4" s="1">
        <v>45966.0</v>
      </c>
      <c r="D4" s="1">
        <v>45967.0</v>
      </c>
      <c r="E4" s="1">
        <v>45968.0</v>
      </c>
      <c r="F4" s="2">
        <v>45969.0</v>
      </c>
      <c r="G4" s="2">
        <v>45970.0</v>
      </c>
      <c r="H4" s="4" t="s">
        <v>16</v>
      </c>
      <c r="I4" s="3">
        <f>COUNTIF(A1:E15,"麒翔")</f>
        <v>5</v>
      </c>
      <c r="J4" s="3">
        <f>COUNTIF(F1:G15,"麒翔")</f>
        <v>2</v>
      </c>
      <c r="K4" s="4" t="s">
        <v>62</v>
      </c>
      <c r="L4" s="4" t="s">
        <v>63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6" t="s">
        <v>7</v>
      </c>
      <c r="G5" s="6" t="s">
        <v>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20</v>
      </c>
      <c r="B6" s="7" t="s">
        <v>26</v>
      </c>
      <c r="C6" s="7" t="s">
        <v>20</v>
      </c>
      <c r="D6" s="7" t="s">
        <v>12</v>
      </c>
      <c r="E6" s="7" t="s">
        <v>22</v>
      </c>
      <c r="F6" s="7" t="s">
        <v>20</v>
      </c>
      <c r="G6" s="7" t="s">
        <v>12</v>
      </c>
      <c r="H6" s="4" t="s">
        <v>23</v>
      </c>
      <c r="I6" s="3">
        <f>COUNTIF(A1:E15,"展瀚")</f>
        <v>3</v>
      </c>
      <c r="J6" s="3">
        <f>COUNTIF(F1:G15,"展瀚")</f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>
        <v>45971.0</v>
      </c>
      <c r="B7" s="10">
        <v>45972.0</v>
      </c>
      <c r="C7" s="10">
        <v>45973.0</v>
      </c>
      <c r="D7" s="10">
        <v>45974.0</v>
      </c>
      <c r="E7" s="10">
        <v>45975.0</v>
      </c>
      <c r="F7" s="11">
        <v>45976.0</v>
      </c>
      <c r="G7" s="11">
        <v>45977.0</v>
      </c>
      <c r="H7" s="4" t="s">
        <v>24</v>
      </c>
      <c r="I7" s="3">
        <f>COUNTIF(A1:E15,"建寬")</f>
        <v>2</v>
      </c>
      <c r="J7" s="3">
        <f>COUNTIF(F2:G16,"建寬")</f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2</v>
      </c>
      <c r="B8" s="5" t="s">
        <v>3</v>
      </c>
      <c r="C8" s="5" t="s">
        <v>4</v>
      </c>
      <c r="D8" s="5" t="s">
        <v>5</v>
      </c>
      <c r="E8" s="5" t="s">
        <v>6</v>
      </c>
      <c r="F8" s="6" t="s">
        <v>7</v>
      </c>
      <c r="G8" s="6" t="s">
        <v>8</v>
      </c>
      <c r="H8" s="4" t="s">
        <v>28</v>
      </c>
      <c r="I8" s="3">
        <f>COUNTIF(A1:E15,"昭祐")</f>
        <v>0</v>
      </c>
      <c r="J8" s="3">
        <f>COUNTIF(F2:G16,"昭祐")</f>
        <v>0</v>
      </c>
      <c r="K8" s="4" t="s">
        <v>56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20</v>
      </c>
      <c r="B9" s="7" t="s">
        <v>26</v>
      </c>
      <c r="C9" s="7" t="s">
        <v>22</v>
      </c>
      <c r="D9" s="7" t="s">
        <v>12</v>
      </c>
      <c r="E9" s="7" t="s">
        <v>20</v>
      </c>
      <c r="F9" s="7" t="s">
        <v>22</v>
      </c>
      <c r="G9" s="7" t="s">
        <v>20</v>
      </c>
      <c r="H9" s="4" t="s">
        <v>29</v>
      </c>
      <c r="I9" s="3">
        <f>COUNTIF(A1:E15,"朝允")</f>
        <v>0</v>
      </c>
      <c r="J9" s="3">
        <f>COUNTIF(F1:G15,"朝允")</f>
        <v>1</v>
      </c>
      <c r="K9" s="4" t="s">
        <v>57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>
        <v>45978.0</v>
      </c>
      <c r="B10" s="10">
        <v>45979.0</v>
      </c>
      <c r="C10" s="10">
        <v>45980.0</v>
      </c>
      <c r="D10" s="10">
        <v>45981.0</v>
      </c>
      <c r="E10" s="10">
        <v>45982.0</v>
      </c>
      <c r="F10" s="11">
        <v>45983.0</v>
      </c>
      <c r="G10" s="11">
        <v>45984.0</v>
      </c>
      <c r="H10" s="4" t="s">
        <v>30</v>
      </c>
      <c r="I10" s="3">
        <f>COUNTIF(A1:E15,"則瑋")</f>
        <v>0</v>
      </c>
      <c r="J10" s="3">
        <f>COUNTIF(F2:G16,"則瑋")</f>
        <v>1</v>
      </c>
      <c r="K10" s="4" t="s">
        <v>31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2</v>
      </c>
      <c r="B11" s="5" t="s">
        <v>3</v>
      </c>
      <c r="C11" s="5" t="s">
        <v>4</v>
      </c>
      <c r="D11" s="5" t="s">
        <v>5</v>
      </c>
      <c r="E11" s="5" t="s">
        <v>6</v>
      </c>
      <c r="F11" s="6" t="s">
        <v>7</v>
      </c>
      <c r="G11" s="6" t="s">
        <v>8</v>
      </c>
      <c r="H11" s="4" t="s">
        <v>33</v>
      </c>
      <c r="I11" s="3">
        <f>COUNTIF(A1:E15,"廖瑀")</f>
        <v>0</v>
      </c>
      <c r="J11" s="3">
        <f>COUNTIF(F4:G18,"廖瑀")</f>
        <v>1</v>
      </c>
      <c r="K11" s="4" t="s">
        <v>64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12</v>
      </c>
      <c r="B12" s="7" t="s">
        <v>22</v>
      </c>
      <c r="C12" s="7" t="s">
        <v>20</v>
      </c>
      <c r="D12" s="7" t="s">
        <v>21</v>
      </c>
      <c r="E12" s="7" t="s">
        <v>12</v>
      </c>
      <c r="F12" s="7" t="s">
        <v>27</v>
      </c>
      <c r="G12" s="7" t="s">
        <v>34</v>
      </c>
      <c r="H12" s="4" t="s">
        <v>58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>
        <v>45985.0</v>
      </c>
      <c r="B13" s="10">
        <v>45986.0</v>
      </c>
      <c r="C13" s="10">
        <v>45987.0</v>
      </c>
      <c r="D13" s="10">
        <v>45988.0</v>
      </c>
      <c r="E13" s="10">
        <v>45989.0</v>
      </c>
      <c r="F13" s="11">
        <v>45990.0</v>
      </c>
      <c r="G13" s="11">
        <v>45991.0</v>
      </c>
      <c r="H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6" t="s">
        <v>7</v>
      </c>
      <c r="G14" s="6" t="s">
        <v>8</v>
      </c>
      <c r="H14" s="4" t="s">
        <v>65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22</v>
      </c>
      <c r="B15" s="7" t="s">
        <v>21</v>
      </c>
      <c r="C15" s="7" t="s">
        <v>12</v>
      </c>
      <c r="D15" s="7" t="s">
        <v>21</v>
      </c>
      <c r="E15" s="7" t="s">
        <v>22</v>
      </c>
      <c r="F15" s="7" t="s">
        <v>35</v>
      </c>
      <c r="G15" s="7" t="s">
        <v>22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D16" s="3"/>
      <c r="E16" s="3"/>
      <c r="F16" s="3"/>
      <c r="G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"/>
      <c r="B20" s="12"/>
      <c r="C20" s="12"/>
      <c r="D20" s="12"/>
      <c r="E20" s="12"/>
      <c r="F20" s="13"/>
      <c r="G20" s="13"/>
      <c r="H20" s="12"/>
      <c r="I20" s="14"/>
      <c r="J20" s="1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5"/>
      <c r="B23" s="15"/>
      <c r="C23" s="15"/>
      <c r="D23" s="15"/>
      <c r="E23" s="15"/>
      <c r="F23" s="15"/>
      <c r="G23" s="15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6"/>
      <c r="B26" s="16"/>
      <c r="C26" s="16"/>
      <c r="D26" s="16"/>
      <c r="E26" s="16"/>
      <c r="F26" s="16"/>
      <c r="G26" s="16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6"/>
      <c r="B29" s="16"/>
      <c r="C29" s="16"/>
      <c r="D29" s="16"/>
      <c r="E29" s="16"/>
      <c r="F29" s="16"/>
      <c r="G29" s="16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6"/>
      <c r="B32" s="16"/>
      <c r="C32" s="16"/>
      <c r="D32" s="16"/>
      <c r="E32" s="16"/>
      <c r="F32" s="16"/>
      <c r="G32" s="16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>
        <v>45931.0</v>
      </c>
      <c r="D1" s="1">
        <v>45932.0</v>
      </c>
      <c r="E1" s="1">
        <v>45933.0</v>
      </c>
      <c r="F1" s="2">
        <v>45934.0</v>
      </c>
      <c r="G1" s="2">
        <v>45935.0</v>
      </c>
      <c r="I1" s="4" t="s">
        <v>0</v>
      </c>
      <c r="J1" s="4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/>
      <c r="B2" s="5"/>
      <c r="C2" s="5" t="s">
        <v>4</v>
      </c>
      <c r="D2" s="5" t="s">
        <v>5</v>
      </c>
      <c r="E2" s="5" t="s">
        <v>6</v>
      </c>
      <c r="F2" s="6" t="s">
        <v>7</v>
      </c>
      <c r="G2" s="6" t="s">
        <v>8</v>
      </c>
      <c r="H2" s="4" t="s">
        <v>9</v>
      </c>
      <c r="I2" s="3">
        <f>COUNTIF(A1:E15,"見賢")</f>
        <v>6</v>
      </c>
      <c r="J2" s="3">
        <f>COUNTIF(F1:G15,"見賢")</f>
        <v>1</v>
      </c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4"/>
      <c r="C3" s="7" t="s">
        <v>22</v>
      </c>
      <c r="D3" s="7" t="s">
        <v>26</v>
      </c>
      <c r="E3" s="7" t="s">
        <v>20</v>
      </c>
      <c r="F3" s="7" t="s">
        <v>34</v>
      </c>
      <c r="G3" s="7" t="s">
        <v>27</v>
      </c>
      <c r="H3" s="4" t="s">
        <v>41</v>
      </c>
      <c r="I3" s="3">
        <f>COUNTIF(A1:E15,"常胤")</f>
        <v>5</v>
      </c>
      <c r="J3" s="3">
        <f>COUNTIF(F1:G15,"常胤")</f>
        <v>2</v>
      </c>
      <c r="K3" s="4" t="s">
        <v>66</v>
      </c>
      <c r="L3" s="4" t="s">
        <v>61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>
        <v>45936.0</v>
      </c>
      <c r="B4" s="1">
        <v>45937.0</v>
      </c>
      <c r="C4" s="1">
        <v>45938.0</v>
      </c>
      <c r="D4" s="1">
        <v>45939.0</v>
      </c>
      <c r="E4" s="2">
        <v>45940.0</v>
      </c>
      <c r="F4" s="2">
        <v>45941.0</v>
      </c>
      <c r="G4" s="2">
        <v>45942.0</v>
      </c>
      <c r="H4" s="4" t="s">
        <v>16</v>
      </c>
      <c r="I4" s="3">
        <f>COUNTIF(A1:E15,"麒翔")</f>
        <v>6</v>
      </c>
      <c r="J4" s="3">
        <f>COUNTIF(F1:G15,"麒翔")</f>
        <v>1</v>
      </c>
      <c r="K4" s="4" t="s">
        <v>67</v>
      </c>
      <c r="L4" s="4" t="s">
        <v>63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2</v>
      </c>
      <c r="B5" s="5" t="s">
        <v>3</v>
      </c>
      <c r="C5" s="5" t="s">
        <v>4</v>
      </c>
      <c r="D5" s="5" t="s">
        <v>5</v>
      </c>
      <c r="E5" s="6" t="s">
        <v>6</v>
      </c>
      <c r="F5" s="6" t="s">
        <v>7</v>
      </c>
      <c r="G5" s="6" t="s">
        <v>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20</v>
      </c>
      <c r="B6" s="7" t="s">
        <v>26</v>
      </c>
      <c r="C6" s="7" t="s">
        <v>12</v>
      </c>
      <c r="D6" s="7" t="s">
        <v>20</v>
      </c>
      <c r="E6" s="7" t="s">
        <v>22</v>
      </c>
      <c r="F6" s="7" t="s">
        <v>20</v>
      </c>
      <c r="G6" s="7" t="s">
        <v>22</v>
      </c>
      <c r="H6" s="4" t="s">
        <v>46</v>
      </c>
      <c r="I6" s="3">
        <f>COUNTIF(A1:E15,"展瀚")</f>
        <v>2</v>
      </c>
      <c r="J6" s="4">
        <f t="array" ref="J6">SUM(
  COUNTIF({F3:G15,A6,E6,#REF!},"展瀚")
)</f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>
        <v>45943.0</v>
      </c>
      <c r="B7" s="1">
        <v>45944.0</v>
      </c>
      <c r="C7" s="1">
        <v>45945.0</v>
      </c>
      <c r="D7" s="1">
        <v>45946.0</v>
      </c>
      <c r="E7" s="1">
        <v>45947.0</v>
      </c>
      <c r="F7" s="2">
        <v>45948.0</v>
      </c>
      <c r="G7" s="2">
        <v>45949.0</v>
      </c>
      <c r="H7" s="4" t="s">
        <v>24</v>
      </c>
      <c r="I7" s="3">
        <f>COUNTIF(A1:E15,"建寬")</f>
        <v>3</v>
      </c>
      <c r="J7" s="3">
        <f t="array" ref="J7">SUM(
  COUNTIF({F3:G15,A6,E6,#REF!},"建寬")
)</f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2</v>
      </c>
      <c r="B8" s="5" t="s">
        <v>3</v>
      </c>
      <c r="C8" s="5" t="s">
        <v>4</v>
      </c>
      <c r="D8" s="5" t="s">
        <v>5</v>
      </c>
      <c r="E8" s="5" t="s">
        <v>6</v>
      </c>
      <c r="F8" s="6" t="s">
        <v>7</v>
      </c>
      <c r="G8" s="6" t="s">
        <v>8</v>
      </c>
      <c r="H8" s="4" t="s">
        <v>28</v>
      </c>
      <c r="I8" s="3">
        <f t="shared" ref="I8:I9" si="1">COUNTIF(A1:E15,"昭祐")</f>
        <v>0</v>
      </c>
      <c r="J8" s="4">
        <v>1.0</v>
      </c>
      <c r="K8" s="4" t="s">
        <v>56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26</v>
      </c>
      <c r="B9" s="7" t="s">
        <v>12</v>
      </c>
      <c r="C9" s="7" t="s">
        <v>22</v>
      </c>
      <c r="D9" s="7" t="s">
        <v>20</v>
      </c>
      <c r="E9" s="7" t="s">
        <v>12</v>
      </c>
      <c r="F9" s="7" t="s">
        <v>35</v>
      </c>
      <c r="G9" s="7" t="s">
        <v>32</v>
      </c>
      <c r="H9" s="4" t="s">
        <v>29</v>
      </c>
      <c r="I9" s="3">
        <f t="shared" si="1"/>
        <v>0</v>
      </c>
      <c r="J9" s="4">
        <v>1.0</v>
      </c>
      <c r="K9" s="4" t="s">
        <v>57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>
        <v>45950.0</v>
      </c>
      <c r="B10" s="1">
        <v>45951.0</v>
      </c>
      <c r="C10" s="1">
        <v>45952.0</v>
      </c>
      <c r="D10" s="1">
        <v>45953.0</v>
      </c>
      <c r="E10" s="2">
        <v>45954.0</v>
      </c>
      <c r="F10" s="2">
        <v>45955.0</v>
      </c>
      <c r="G10" s="2">
        <v>45956.0</v>
      </c>
      <c r="H10" s="4" t="s">
        <v>30</v>
      </c>
      <c r="I10" s="3">
        <f>COUNTIF(A1:E15,"則瑋")</f>
        <v>1</v>
      </c>
      <c r="J10" s="4">
        <v>1.0</v>
      </c>
      <c r="K10" s="4" t="s">
        <v>31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2</v>
      </c>
      <c r="B11" s="5" t="s">
        <v>3</v>
      </c>
      <c r="C11" s="5" t="s">
        <v>4</v>
      </c>
      <c r="D11" s="5" t="s">
        <v>5</v>
      </c>
      <c r="E11" s="6" t="s">
        <v>6</v>
      </c>
      <c r="F11" s="6" t="s">
        <v>7</v>
      </c>
      <c r="G11" s="6" t="s">
        <v>8</v>
      </c>
      <c r="H11" s="4" t="s">
        <v>33</v>
      </c>
      <c r="I11" s="3">
        <f>COUNTIF(A1:E15,"廖瑀")</f>
        <v>0</v>
      </c>
      <c r="J11" s="4">
        <v>1.0</v>
      </c>
      <c r="K11" s="4" t="s">
        <v>68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12</v>
      </c>
      <c r="B12" s="7" t="s">
        <v>22</v>
      </c>
      <c r="C12" s="7" t="s">
        <v>21</v>
      </c>
      <c r="D12" s="7" t="s">
        <v>20</v>
      </c>
      <c r="E12" s="7" t="s">
        <v>12</v>
      </c>
      <c r="F12" s="7" t="s">
        <v>22</v>
      </c>
      <c r="G12" s="7" t="s">
        <v>12</v>
      </c>
      <c r="H12" s="4" t="s">
        <v>69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>
        <v>45957.0</v>
      </c>
      <c r="B13" s="1">
        <v>45958.0</v>
      </c>
      <c r="C13" s="1">
        <v>45959.0</v>
      </c>
      <c r="D13" s="1">
        <v>45960.0</v>
      </c>
      <c r="E13" s="1">
        <v>45961.0</v>
      </c>
      <c r="F13" s="2"/>
      <c r="G13" s="2"/>
      <c r="H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6" t="s">
        <v>7</v>
      </c>
      <c r="G14" s="6" t="s">
        <v>8</v>
      </c>
      <c r="H14" s="4" t="s">
        <v>70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20</v>
      </c>
      <c r="B15" s="7" t="s">
        <v>34</v>
      </c>
      <c r="C15" s="7" t="s">
        <v>21</v>
      </c>
      <c r="D15" s="7" t="s">
        <v>12</v>
      </c>
      <c r="E15" s="7" t="s">
        <v>22</v>
      </c>
      <c r="F15" s="7"/>
      <c r="G15" s="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D16" s="3"/>
      <c r="E16" s="3"/>
      <c r="F16" s="3"/>
      <c r="G16" s="3"/>
      <c r="H16" s="4" t="s">
        <v>65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45901.0</v>
      </c>
      <c r="B1" s="1">
        <v>45902.0</v>
      </c>
      <c r="C1" s="1">
        <v>45903.0</v>
      </c>
      <c r="D1" s="1">
        <v>45904.0</v>
      </c>
      <c r="E1" s="1">
        <v>45905.0</v>
      </c>
      <c r="F1" s="2">
        <v>45906.0</v>
      </c>
      <c r="G1" s="2">
        <v>45907.0</v>
      </c>
      <c r="I1" s="4" t="s">
        <v>0</v>
      </c>
      <c r="J1" s="4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6" t="s">
        <v>7</v>
      </c>
      <c r="G2" s="6" t="s">
        <v>8</v>
      </c>
      <c r="H2" s="4" t="s">
        <v>9</v>
      </c>
      <c r="I2" s="3">
        <f>COUNTIF(A1:E15,"見賢")</f>
        <v>5</v>
      </c>
      <c r="J2" s="3">
        <f>COUNTIF(F1:G15,"見賢")</f>
        <v>2</v>
      </c>
      <c r="K2" s="4" t="s">
        <v>71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26</v>
      </c>
      <c r="B3" s="4" t="s">
        <v>34</v>
      </c>
      <c r="C3" s="17" t="s">
        <v>22</v>
      </c>
      <c r="D3" s="18" t="s">
        <v>12</v>
      </c>
      <c r="E3" s="4" t="s">
        <v>35</v>
      </c>
      <c r="F3" s="17" t="s">
        <v>22</v>
      </c>
      <c r="G3" s="18" t="s">
        <v>12</v>
      </c>
      <c r="H3" s="4" t="s">
        <v>41</v>
      </c>
      <c r="I3" s="3">
        <f>COUNTIF(A1:E15,"常胤")</f>
        <v>5</v>
      </c>
      <c r="J3" s="3">
        <f>COUNTIF(F1:G15,"常胤")</f>
        <v>2</v>
      </c>
      <c r="K3" s="4" t="s">
        <v>72</v>
      </c>
      <c r="L3" s="4" t="s">
        <v>61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45908.0</v>
      </c>
      <c r="B4" s="1">
        <v>45909.0</v>
      </c>
      <c r="C4" s="1">
        <v>45910.0</v>
      </c>
      <c r="D4" s="1">
        <v>45911.0</v>
      </c>
      <c r="E4" s="1">
        <v>45912.0</v>
      </c>
      <c r="F4" s="2">
        <v>45913.0</v>
      </c>
      <c r="G4" s="2">
        <v>45914.0</v>
      </c>
      <c r="H4" s="4" t="s">
        <v>16</v>
      </c>
      <c r="I4" s="3">
        <f>COUNTIF(A1:E15,"麒翔")</f>
        <v>6</v>
      </c>
      <c r="J4" s="3">
        <f>COUNTIF(F1:G15,"麒翔")</f>
        <v>1</v>
      </c>
      <c r="K4" s="4" t="s">
        <v>71</v>
      </c>
      <c r="L4" s="4" t="s">
        <v>73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6" t="s">
        <v>7</v>
      </c>
      <c r="G5" s="6" t="s">
        <v>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9" t="s">
        <v>20</v>
      </c>
      <c r="B6" s="17" t="s">
        <v>22</v>
      </c>
      <c r="C6" s="18" t="s">
        <v>12</v>
      </c>
      <c r="D6" s="19" t="s">
        <v>20</v>
      </c>
      <c r="E6" s="17" t="s">
        <v>22</v>
      </c>
      <c r="F6" s="7" t="s">
        <v>27</v>
      </c>
      <c r="G6" s="19" t="s">
        <v>20</v>
      </c>
      <c r="H6" s="4" t="s">
        <v>24</v>
      </c>
      <c r="I6" s="3">
        <f>COUNTIF(A1:E15,"建寬")</f>
        <v>3</v>
      </c>
      <c r="J6" s="3">
        <f>COUNTIF(F1:G15,"建寬")</f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>
        <v>45915.0</v>
      </c>
      <c r="B7" s="1">
        <v>45916.0</v>
      </c>
      <c r="C7" s="1">
        <v>45917.0</v>
      </c>
      <c r="D7" s="1">
        <v>45918.0</v>
      </c>
      <c r="E7" s="1">
        <v>45919.0</v>
      </c>
      <c r="F7" s="2">
        <v>45920.0</v>
      </c>
      <c r="G7" s="2">
        <v>45921.0</v>
      </c>
      <c r="H7" s="4" t="s">
        <v>74</v>
      </c>
      <c r="I7" s="3">
        <f>COUNTIF(A1:E15,"昭祐")</f>
        <v>1</v>
      </c>
      <c r="J7" s="3">
        <f>COUNTIF(F1:G15,"昭祐")</f>
        <v>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2</v>
      </c>
      <c r="B8" s="5" t="s">
        <v>3</v>
      </c>
      <c r="C8" s="5" t="s">
        <v>4</v>
      </c>
      <c r="D8" s="5" t="s">
        <v>5</v>
      </c>
      <c r="E8" s="5" t="s">
        <v>6</v>
      </c>
      <c r="F8" s="6" t="s">
        <v>7</v>
      </c>
      <c r="G8" s="6" t="s">
        <v>8</v>
      </c>
      <c r="H8" s="4" t="s">
        <v>33</v>
      </c>
      <c r="I8" s="3">
        <f>COUNTIF(A1:E15,"廖瑀")</f>
        <v>1</v>
      </c>
      <c r="J8" s="3">
        <f>COUNTIF(F1:G15,"廖瑀")</f>
        <v>1</v>
      </c>
      <c r="K8" s="4" t="s">
        <v>75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76</v>
      </c>
      <c r="B9" s="4" t="s">
        <v>26</v>
      </c>
      <c r="C9" s="19" t="s">
        <v>20</v>
      </c>
      <c r="D9" s="17" t="s">
        <v>22</v>
      </c>
      <c r="E9" s="18" t="s">
        <v>12</v>
      </c>
      <c r="F9" s="4" t="s">
        <v>35</v>
      </c>
      <c r="G9" s="7" t="s">
        <v>76</v>
      </c>
      <c r="H9" s="4" t="s">
        <v>29</v>
      </c>
      <c r="I9" s="3">
        <f>COUNTIF(A1:E15,"朝允")</f>
        <v>0</v>
      </c>
      <c r="J9" s="3">
        <f>COUNTIF(F1:G15,"朝允")</f>
        <v>1</v>
      </c>
      <c r="K9" s="4" t="s">
        <v>57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>
        <v>45922.0</v>
      </c>
      <c r="B10" s="1">
        <v>45923.0</v>
      </c>
      <c r="C10" s="1">
        <v>45924.0</v>
      </c>
      <c r="D10" s="1">
        <v>45925.0</v>
      </c>
      <c r="E10" s="1">
        <v>45926.0</v>
      </c>
      <c r="F10" s="2">
        <v>45927.0</v>
      </c>
      <c r="G10" s="2">
        <v>45928.0</v>
      </c>
      <c r="H10" s="4" t="s">
        <v>30</v>
      </c>
      <c r="I10" s="3">
        <f>COUNTIF(A1:E15,"則瑋")</f>
        <v>1</v>
      </c>
      <c r="J10" s="3">
        <f>COUNTIF(F1:G15,"則瑋")</f>
        <v>0</v>
      </c>
      <c r="K10" s="4" t="s">
        <v>77</v>
      </c>
      <c r="L10" s="4" t="s">
        <v>31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2</v>
      </c>
      <c r="B11" s="5" t="s">
        <v>3</v>
      </c>
      <c r="C11" s="5" t="s">
        <v>4</v>
      </c>
      <c r="D11" s="5" t="s">
        <v>5</v>
      </c>
      <c r="E11" s="5" t="s">
        <v>6</v>
      </c>
      <c r="F11" s="6" t="s">
        <v>7</v>
      </c>
      <c r="G11" s="6" t="s">
        <v>8</v>
      </c>
      <c r="H11" s="4" t="s">
        <v>78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26</v>
      </c>
      <c r="B12" s="19" t="s">
        <v>20</v>
      </c>
      <c r="C12" s="17" t="s">
        <v>22</v>
      </c>
      <c r="D12" s="18" t="s">
        <v>12</v>
      </c>
      <c r="E12" s="19" t="s">
        <v>20</v>
      </c>
      <c r="F12" s="17" t="s">
        <v>22</v>
      </c>
      <c r="G12" s="18" t="s">
        <v>12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>
        <v>45929.0</v>
      </c>
      <c r="B13" s="1">
        <v>45930.0</v>
      </c>
      <c r="C13" s="1"/>
      <c r="D13" s="1"/>
      <c r="E13" s="1"/>
      <c r="F13" s="2"/>
      <c r="G13" s="2"/>
      <c r="H13" s="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6" t="s">
        <v>7</v>
      </c>
      <c r="G14" s="6" t="s">
        <v>8</v>
      </c>
      <c r="H14" s="4" t="s">
        <v>79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 t="s">
        <v>20</v>
      </c>
      <c r="B15" s="18" t="s">
        <v>12</v>
      </c>
      <c r="C15" s="19"/>
      <c r="D15" s="17"/>
      <c r="E15" s="18"/>
      <c r="F15" s="19"/>
      <c r="G15" s="1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/>
      <c r="B1" s="20"/>
      <c r="C1" s="20"/>
      <c r="D1" s="20"/>
      <c r="E1" s="1">
        <v>45870.0</v>
      </c>
      <c r="F1" s="2">
        <v>45871.0</v>
      </c>
      <c r="G1" s="2">
        <v>45872.0</v>
      </c>
      <c r="H1" s="3"/>
      <c r="I1" s="4" t="s">
        <v>0</v>
      </c>
      <c r="J1" s="4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6" t="s">
        <v>7</v>
      </c>
      <c r="G2" s="6" t="s">
        <v>8</v>
      </c>
      <c r="H2" s="4" t="s">
        <v>9</v>
      </c>
      <c r="I2" s="3">
        <f>COUNTIF(A1:E15,"見賢")</f>
        <v>5</v>
      </c>
      <c r="J2" s="3">
        <f>COUNTIF(F1:G15,"見賢")</f>
        <v>2</v>
      </c>
      <c r="K2" s="4" t="s">
        <v>80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4" t="s">
        <v>27</v>
      </c>
      <c r="F3" s="4" t="s">
        <v>76</v>
      </c>
      <c r="G3" s="4" t="s">
        <v>34</v>
      </c>
      <c r="H3" s="4" t="s">
        <v>81</v>
      </c>
      <c r="I3" s="3">
        <f>COUNTIF(A1:E15,"常胤")</f>
        <v>5</v>
      </c>
      <c r="J3" s="3">
        <f>COUNTIF(F1:G15,"常胤")</f>
        <v>2</v>
      </c>
      <c r="K3" s="4" t="s">
        <v>82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45873.0</v>
      </c>
      <c r="B4" s="1">
        <v>45874.0</v>
      </c>
      <c r="C4" s="1">
        <v>45875.0</v>
      </c>
      <c r="D4" s="1">
        <v>45876.0</v>
      </c>
      <c r="E4" s="1">
        <v>45877.0</v>
      </c>
      <c r="F4" s="2">
        <v>45878.0</v>
      </c>
      <c r="G4" s="2">
        <v>45879.0</v>
      </c>
      <c r="H4" s="4" t="s">
        <v>16</v>
      </c>
      <c r="I4" s="3">
        <f>COUNTIF(A1:E15,"麒翔")</f>
        <v>5</v>
      </c>
      <c r="J4" s="3">
        <f>COUNTIF(F1:G15,"麒翔")</f>
        <v>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6" t="s">
        <v>7</v>
      </c>
      <c r="G5" s="6" t="s">
        <v>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9" t="s">
        <v>20</v>
      </c>
      <c r="B6" s="17" t="s">
        <v>22</v>
      </c>
      <c r="C6" s="18" t="s">
        <v>12</v>
      </c>
      <c r="D6" s="4" t="s">
        <v>26</v>
      </c>
      <c r="E6" s="17" t="s">
        <v>22</v>
      </c>
      <c r="F6" s="4" t="s">
        <v>35</v>
      </c>
      <c r="G6" s="19" t="s">
        <v>20</v>
      </c>
      <c r="H6" s="4" t="s">
        <v>24</v>
      </c>
      <c r="I6" s="3">
        <f>COUNTIF(A1:E15,"建寬")</f>
        <v>3</v>
      </c>
      <c r="J6" s="3">
        <f>COUNTIF(F1:G15,"建寬")</f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>
        <v>45880.0</v>
      </c>
      <c r="B7" s="1">
        <v>45881.0</v>
      </c>
      <c r="C7" s="1">
        <v>45882.0</v>
      </c>
      <c r="D7" s="1">
        <v>45883.0</v>
      </c>
      <c r="E7" s="1">
        <v>45884.0</v>
      </c>
      <c r="F7" s="2">
        <v>45885.0</v>
      </c>
      <c r="G7" s="2">
        <v>45886.0</v>
      </c>
      <c r="H7" s="4" t="s">
        <v>74</v>
      </c>
      <c r="I7" s="3">
        <f>COUNTIF(A1:E15,"昭祐")</f>
        <v>1</v>
      </c>
      <c r="J7" s="3">
        <f>COUNTIF(F1:G15,"昭祐")</f>
        <v>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2</v>
      </c>
      <c r="B8" s="5" t="s">
        <v>3</v>
      </c>
      <c r="C8" s="5" t="s">
        <v>4</v>
      </c>
      <c r="D8" s="5" t="s">
        <v>5</v>
      </c>
      <c r="E8" s="5" t="s">
        <v>6</v>
      </c>
      <c r="F8" s="6" t="s">
        <v>7</v>
      </c>
      <c r="G8" s="6" t="s">
        <v>8</v>
      </c>
      <c r="H8" s="4" t="s">
        <v>33</v>
      </c>
      <c r="I8" s="3">
        <f>COUNTIF(A1:E15,"廖瑀")</f>
        <v>1</v>
      </c>
      <c r="J8" s="3">
        <f>COUNTIF(F1:G15,"廖瑀")</f>
        <v>1</v>
      </c>
      <c r="K8" s="4" t="s">
        <v>83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76</v>
      </c>
      <c r="B9" s="18" t="s">
        <v>12</v>
      </c>
      <c r="C9" s="19" t="s">
        <v>20</v>
      </c>
      <c r="D9" s="4" t="s">
        <v>26</v>
      </c>
      <c r="E9" s="4" t="s">
        <v>35</v>
      </c>
      <c r="F9" s="4" t="s">
        <v>27</v>
      </c>
      <c r="G9" s="18" t="s">
        <v>12</v>
      </c>
      <c r="H9" s="4" t="s">
        <v>29</v>
      </c>
      <c r="I9" s="3">
        <f>COUNTIF(A1:E15,"朝允")</f>
        <v>1</v>
      </c>
      <c r="J9" s="3">
        <f>COUNTIF(F1:G15,"朝允")</f>
        <v>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>
        <v>45887.0</v>
      </c>
      <c r="B10" s="1">
        <v>45888.0</v>
      </c>
      <c r="C10" s="1">
        <v>45889.0</v>
      </c>
      <c r="D10" s="1">
        <v>45890.0</v>
      </c>
      <c r="E10" s="1">
        <v>45891.0</v>
      </c>
      <c r="F10" s="2">
        <v>45892.0</v>
      </c>
      <c r="G10" s="2">
        <v>45893.0</v>
      </c>
      <c r="H10" s="4" t="s">
        <v>30</v>
      </c>
      <c r="I10" s="3">
        <f>COUNTIF(A1:E15,"則瑋")</f>
        <v>0</v>
      </c>
      <c r="J10" s="3">
        <f>COUNTIF(F1:G15,"則瑋")</f>
        <v>1</v>
      </c>
      <c r="K10" s="4" t="s">
        <v>77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2</v>
      </c>
      <c r="B11" s="5" t="s">
        <v>3</v>
      </c>
      <c r="C11" s="5" t="s">
        <v>4</v>
      </c>
      <c r="D11" s="5" t="s">
        <v>5</v>
      </c>
      <c r="E11" s="5" t="s">
        <v>6</v>
      </c>
      <c r="F11" s="6" t="s">
        <v>7</v>
      </c>
      <c r="G11" s="6" t="s">
        <v>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26</v>
      </c>
      <c r="B12" s="19" t="s">
        <v>20</v>
      </c>
      <c r="C12" s="18" t="s">
        <v>12</v>
      </c>
      <c r="D12" s="17" t="s">
        <v>22</v>
      </c>
      <c r="E12" s="19" t="s">
        <v>20</v>
      </c>
      <c r="F12" s="18" t="s">
        <v>12</v>
      </c>
      <c r="G12" s="17" t="s">
        <v>22</v>
      </c>
      <c r="H12" s="4" t="s">
        <v>84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>
        <v>45894.0</v>
      </c>
      <c r="B13" s="1">
        <v>45895.0</v>
      </c>
      <c r="C13" s="1">
        <v>45896.0</v>
      </c>
      <c r="D13" s="1">
        <v>45897.0</v>
      </c>
      <c r="E13" s="1">
        <v>45898.0</v>
      </c>
      <c r="F13" s="2">
        <v>45899.0</v>
      </c>
      <c r="G13" s="2">
        <v>45900.0</v>
      </c>
      <c r="H13" s="4" t="s">
        <v>85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6" t="s">
        <v>7</v>
      </c>
      <c r="G14" s="6" t="s">
        <v>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7" t="s">
        <v>22</v>
      </c>
      <c r="B15" s="18" t="s">
        <v>12</v>
      </c>
      <c r="C15" s="19" t="s">
        <v>20</v>
      </c>
      <c r="D15" s="17" t="s">
        <v>22</v>
      </c>
      <c r="E15" s="18" t="s">
        <v>12</v>
      </c>
      <c r="F15" s="19" t="s">
        <v>20</v>
      </c>
      <c r="G15" s="17" t="s">
        <v>22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